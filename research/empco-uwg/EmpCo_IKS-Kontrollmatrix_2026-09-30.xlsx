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Kontrollmatrix" sheetId="2" state="visible" r:id="rId4"/>
    <sheet name="Kontrollziele" sheetId="3" state="visible" r:id="rId5"/>
    <sheet name="Anforderungen" sheetId="4" state="visible" r:id="rId6"/>
    <sheet name="Quellen" sheetId="5" state="visible" r:id="rId7"/>
  </sheets>
  <definedNames>
    <definedName function="false" hidden="false" localSheetId="1" name="_xlnm.Print_Titles" vbProcedure="false">Kontrollmatrix!$2:$3</definedName>
    <definedName function="false" hidden="true" localSheetId="1" name="_xlnm._FilterDatabase" vbProcedure="false">Kontrollmatrix!$A$3:$AA$26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<sst xmlns="http://schemas.openxmlformats.org/spreadsheetml/2006/main" count="778" uniqueCount="607">
  <si>
    <t xml:space="preserve">IKS-Kontrollmatrix für Umwelt-, Sozial- und Produktaussagen (Claims)</t>
  </si>
  <si>
    <t xml:space="preserve">EmpCo (Richtlinie (EU) 2024/825) · UWG n. F. · Art. 246, 246a EGBGB · Stand 30.09.2026 · Entwurf v1.0 · intern, keine Rechtsberatung</t>
  </si>
  <si>
    <t xml:space="preserve">Zweck</t>
  </si>
  <si>
    <t xml:space="preserve">Die Matrix übersetzt die EmpCo-Anforderungen in Kontrollen des internen Kontrollsystems: je Risiko eine Kontrolle mit Kontrollziel, Art, Frequenz, Verantwortung, Nachweis und Prüfungshandlung. Die Kontrollen K1–K12 entsprechen Kapitel 7.3 des Arbeitsdokuments „EmpCo in bestehenden GRC-Strukturen“ (29.09.2026); K13–K23 ergänzen Rahmen, Inventur, IT, Lieferanten, Dritte, Vertrieb, KI, Vergleiche, Produktentwicklung, Altbestände und Überwachung. EmpCo schreibt keine Kontrollen vor; die Kontrollen dienen dazu, die gesetzlichen Pflichten verlässlich zu erfüllen und nachzuweisen.</t>
  </si>
  <si>
    <t xml:space="preserve">Aufbau</t>
  </si>
  <si>
    <t xml:space="preserve">Kontrollmatrix</t>
  </si>
  <si>
    <t xml:space="preserve">23 Kontrollen in Prozessreihenfolge; Spalten U bis AA zum Ausfüllen (Status und Tests)</t>
  </si>
  <si>
    <t xml:space="preserve">Kontrollziele</t>
  </si>
  <si>
    <t xml:space="preserve">Kontrollziele KZ1–KZ9 mit zugeordneten Kontrollen</t>
  </si>
  <si>
    <t xml:space="preserve">Anforderungen</t>
  </si>
  <si>
    <t xml:space="preserve">EmpCo-Anforderungen A1–A14 mit Fundstellen und zugeordneten Kontrollen</t>
  </si>
  <si>
    <t xml:space="preserve">Quellen</t>
  </si>
  <si>
    <t xml:space="preserve">Fundstellen mit Links und Validierungsstatus</t>
  </si>
  <si>
    <t xml:space="preserve">So wird die Matrix genutzt</t>
  </si>
  <si>
    <t xml:space="preserve">• Gelb hinterlegte Spalten der Kontrollmatrix (U bis AA) ausfüllen. Die Spalten A bis T sind Vorschläge und können an das Unternehmen angepasst werden.</t>
  </si>
  <si>
    <t xml:space="preserve">• Auswahllisten: Umsetzungsstatus (offen, in Umsetzung, umgesetzt, nicht relevant), Ergebnis Design (angemessen, nicht angemessen, offen), Ergebnis Wirksamkeit (wirksam, nicht wirksam, nicht getestet).</t>
  </si>
  <si>
    <t xml:space="preserve">• Datumsfelder im Format TT.MM.JJJJ eingeben. Die Kennzahlen unten aktualisieren sich automatisch.</t>
  </si>
  <si>
    <t xml:space="preserve">• Kennzeichnung „Verbindlichkeit“: Pflicht = unmittelbar gesetzlich gefordert; Organisation = nicht vorgeschrieben, aber nötig, um die Pflichten verlässlich zu erfüllen; Best Practice = darüber hinaus.</t>
  </si>
  <si>
    <t xml:space="preserve">• Kleine Unternehmen beginnen mit den Kontrollen, deren Spalte „KMU-Minimum“ „ja“ enthält (Filter in Zeile 3).</t>
  </si>
  <si>
    <t xml:space="preserve">Beispiel für eine ausgefüllte Zeile (Format)</t>
  </si>
  <si>
    <t xml:space="preserve">ID</t>
  </si>
  <si>
    <t xml:space="preserve">Umsetzungsstatus</t>
  </si>
  <si>
    <t xml:space="preserve">Verantwortliche Person</t>
  </si>
  <si>
    <t xml:space="preserve">Design beurteilt am</t>
  </si>
  <si>
    <t xml:space="preserve">Ergebnis Design</t>
  </si>
  <si>
    <t xml:space="preserve">Wirksamkeit getestet am</t>
  </si>
  <si>
    <t xml:space="preserve">Ergebnis Wirksamkeit</t>
  </si>
  <si>
    <t xml:space="preserve">K1</t>
  </si>
  <si>
    <t xml:space="preserve">umgesetzt</t>
  </si>
  <si>
    <t xml:space="preserve">Leitung E-Commerce</t>
  </si>
  <si>
    <t xml:space="preserve">15.10.2026</t>
  </si>
  <si>
    <t xml:space="preserve">angemessen</t>
  </si>
  <si>
    <t xml:space="preserve">15.01.2027</t>
  </si>
  <si>
    <t xml:space="preserve">wirksam</t>
  </si>
  <si>
    <t xml:space="preserve">Feststellungen / Maßnahmen, Beispiel: „Stichprobe von 10 Produktseiten ohne Abweichung; Pflichtfeld im Web-CMS seit 01.10.2026 aktiv.“</t>
  </si>
  <si>
    <t xml:space="preserve">Kennzahlen (werden aus der Kontrollmatrix berechnet)</t>
  </si>
  <si>
    <t xml:space="preserve">Kontrollen</t>
  </si>
  <si>
    <t xml:space="preserve">Anzahl</t>
  </si>
  <si>
    <t xml:space="preserve">Kontrollen gesamt</t>
  </si>
  <si>
    <t xml:space="preserve">davon Schlüsselkontrollen</t>
  </si>
  <si>
    <t xml:space="preserve">davon Teil der KMU-Mindestausstattung (KMU-Minimum „ja …“)</t>
  </si>
  <si>
    <t xml:space="preserve">davon nur bei Nutzung oder Relevanz</t>
  </si>
  <si>
    <t xml:space="preserve">mit präventivem Anteil</t>
  </si>
  <si>
    <t xml:space="preserve">mit detektivem Anteil</t>
  </si>
  <si>
    <t xml:space="preserve">korrektiv</t>
  </si>
  <si>
    <t xml:space="preserve">mit Pflichtbezug (Verbindlichkeit enthält „Pflicht“)</t>
  </si>
  <si>
    <t xml:space="preserve">ganz oder teilweise Best Practice</t>
  </si>
  <si>
    <t xml:space="preserve">offen</t>
  </si>
  <si>
    <t xml:space="preserve">in Umsetzung</t>
  </si>
  <si>
    <t xml:space="preserve">nicht relevant</t>
  </si>
  <si>
    <t xml:space="preserve">ohne Angabe</t>
  </si>
  <si>
    <t xml:space="preserve">Umsetzungsquote (umgesetzt / relevante Kontrollen)</t>
  </si>
  <si>
    <t xml:space="preserve">Tests</t>
  </si>
  <si>
    <t xml:space="preserve">Design: angemessen</t>
  </si>
  <si>
    <t xml:space="preserve">Design: nicht angemessen</t>
  </si>
  <si>
    <t xml:space="preserve">Design: offen</t>
  </si>
  <si>
    <t xml:space="preserve">Wirksamkeit: wirksam</t>
  </si>
  <si>
    <t xml:space="preserve">Wirksamkeit: nicht wirksam</t>
  </si>
  <si>
    <t xml:space="preserve">Wirksamkeit: nicht getestet</t>
  </si>
  <si>
    <t xml:space="preserve">Kontrollen je Teilprozess</t>
  </si>
  <si>
    <t xml:space="preserve">0 Rahmen (unternehmensweit)</t>
  </si>
  <si>
    <t xml:space="preserve">1 Erfassung und Inventar</t>
  </si>
  <si>
    <t xml:space="preserve">2 Entwurf und Klassifizierung</t>
  </si>
  <si>
    <t xml:space="preserve">3 Evidenz und fachliche Prüfung</t>
  </si>
  <si>
    <t xml:space="preserve">4 Freigabe</t>
  </si>
  <si>
    <t xml:space="preserve">5 Veröffentlichung</t>
  </si>
  <si>
    <t xml:space="preserve">6 Pflichtinformationen</t>
  </si>
  <si>
    <t xml:space="preserve">7 Dritte und Vertrieb</t>
  </si>
  <si>
    <t xml:space="preserve">8 Monitoring</t>
  </si>
  <si>
    <t xml:space="preserve">9 Sonderfälle</t>
  </si>
  <si>
    <t xml:space="preserve">10 Beanstandungen</t>
  </si>
  <si>
    <t xml:space="preserve">11 Überwachung des IKS</t>
  </si>
  <si>
    <t xml:space="preserve">Summe (Kontrolle: muss der Gesamtzahl entsprechen)</t>
  </si>
  <si>
    <t xml:space="preserve">Quellenlage: Normangaben beruhen teilweise auf Sekundärquellen (Primärtexte in der Arbeitsumgebung nicht abrufbar); vor externer Verwendung am Originaltext prüfen. Details im Blatt „Quellen“.</t>
  </si>
  <si>
    <t xml:space="preserve">IKS-Kontrollmatrix für Umwelt-, Sozial- und Produktaussagen (Claims) nach EmpCo/UWG · Stand 30.09.2026 · Entwurf v1.0</t>
  </si>
  <si>
    <t xml:space="preserve">RISIKO UND KONTROLLZIEL</t>
  </si>
  <si>
    <t xml:space="preserve">KONTROLLE</t>
  </si>
  <si>
    <t xml:space="preserve">EINORDNUNG UND UMSETZUNG</t>
  </si>
  <si>
    <t xml:space="preserve">STATUS UND TEST – BITTE AUSFÜLLEN</t>
  </si>
  <si>
    <t xml:space="preserve">Teilprozess</t>
  </si>
  <si>
    <t xml:space="preserve">Risiko
(Was kann schiefgehen?)</t>
  </si>
  <si>
    <t xml:space="preserve">EmpCo-Anforderung
(Nr., Norm)</t>
  </si>
  <si>
    <t xml:space="preserve">Kontrollziel</t>
  </si>
  <si>
    <t xml:space="preserve">COSO-Komponente</t>
  </si>
  <si>
    <t xml:space="preserve">Kontrollaktivität</t>
  </si>
  <si>
    <t xml:space="preserve">Kontrollart</t>
  </si>
  <si>
    <t xml:space="preserve">Durchführung</t>
  </si>
  <si>
    <t xml:space="preserve">Frequenz</t>
  </si>
  <si>
    <t xml:space="preserve">Kontroll-
verantwortung</t>
  </si>
  <si>
    <t xml:space="preserve">Nachweis /
Dokumentation</t>
  </si>
  <si>
    <t xml:space="preserve">Prüfungshandlung
(Wirksamkeitstest)</t>
  </si>
  <si>
    <t xml:space="preserve">Neu oder Anpassung</t>
  </si>
  <si>
    <t xml:space="preserve">Umsetzungsbeispiel</t>
  </si>
  <si>
    <t xml:space="preserve">Verbindlichkeit</t>
  </si>
  <si>
    <t xml:space="preserve">Schlüssel-
kontrolle</t>
  </si>
  <si>
    <t xml:space="preserve">KMU-
Relevanz</t>
  </si>
  <si>
    <t xml:space="preserve">KMU-
Minimum</t>
  </si>
  <si>
    <t xml:space="preserve">Bezug
(Dokument, RB)</t>
  </si>
  <si>
    <t xml:space="preserve">Umsetzungs-
status</t>
  </si>
  <si>
    <t xml:space="preserve">Verantwortliche
Person</t>
  </si>
  <si>
    <t xml:space="preserve">Design beurteilt
am</t>
  </si>
  <si>
    <t xml:space="preserve">Ergebnis
Design</t>
  </si>
  <si>
    <t xml:space="preserve">Wirksamkeit
getestet am</t>
  </si>
  <si>
    <t xml:space="preserve">Ergebnis
Wirksamkeit</t>
  </si>
  <si>
    <t xml:space="preserve">Feststellungen /
Maßnahmen</t>
  </si>
  <si>
    <t xml:space="preserve">K23</t>
  </si>
  <si>
    <t xml:space="preserve">Es gibt keine verbindlichen Regeln und Zuständigkeiten für Claims; Kontrollen werden uneinheitlich oder gar nicht durchgeführt.</t>
  </si>
  <si>
    <t xml:space="preserve">A1–A14; allgemeine Organisationspflicht der Geschäftsleitung (§ 93 AktG, § 43 GmbHG)</t>
  </si>
  <si>
    <t xml:space="preserve">alle (Grundlage)</t>
  </si>
  <si>
    <t xml:space="preserve">Kontrollumfeld</t>
  </si>
  <si>
    <t xml:space="preserve">Die Geschäftsleitung beschließt eine Claims-Richtlinie (Geltungsbereich, Negativliste, Evidenzstandards, Risikoklassen, Freigabematrix, Dokumentation) und benennt einen Claim-Governance-Owner. Die Richtlinie wird jährlich und bei Rechtsänderungen aktualisiert; die Zielgruppen bestätigen die Kenntnisnahme.</t>
  </si>
  <si>
    <t xml:space="preserve">präventiv</t>
  </si>
  <si>
    <t xml:space="preserve">manuell</t>
  </si>
  <si>
    <t xml:space="preserve">jährlich und anlassbezogen</t>
  </si>
  <si>
    <t xml:space="preserve">Geschäftsleitung; Claim-Governance-Owner</t>
  </si>
  <si>
    <t xml:space="preserve">Beschluss der Geschäftsleitung; Richtlinie mit Versionsstand; Kenntnisnahmen</t>
  </si>
  <si>
    <t xml:space="preserve">Einsicht in Beschluss und aktuelle Fassung; Stichprobe von 5 Kenntnisnahmen aus Marketing und Vertrieb.</t>
  </si>
  <si>
    <t xml:space="preserve">Neu (Policy-Modul), eingebettet in das bestehende Richtlinienwesen</t>
  </si>
  <si>
    <t xml:space="preserve">Dreiseitige Claims-Richtlinie, in der GF-Sitzung beschlossen und im Intranet veröffentlicht</t>
  </si>
  <si>
    <t xml:space="preserve">Organisation</t>
  </si>
  <si>
    <t xml:space="preserve">ja</t>
  </si>
  <si>
    <t xml:space="preserve">hoch</t>
  </si>
  <si>
    <t xml:space="preserve">Word Kap. 5.3; RB Kap. 6.10 (Baustein 1)</t>
  </si>
  <si>
    <t xml:space="preserve">K13</t>
  </si>
  <si>
    <t xml:space="preserve">Claims in einzelnen Kanälen sind nicht bekannt, etwa auf Verpackungen, Marktplätzen, in Social Media, alten PDF-Broschüren oder in Produkt- und Markennamen, und werden deshalb nie geprüft.</t>
  </si>
  <si>
    <t xml:space="preserve">A1–A14 (schon eine einzelne Aussage genügt für einen Verstoß)</t>
  </si>
  <si>
    <t xml:space="preserve">KZ1 Vollständigkeit</t>
  </si>
  <si>
    <t xml:space="preserve">Risikobeurteilung</t>
  </si>
  <si>
    <t xml:space="preserve">Einmalige Vollinventur aller Kanäle (Verpackung, Etikett, Website, Shop, Marktplätze, Social Media, Kataloge, Vertriebsunterlagen, Produkt- und Markennamen, Siegel und Icons) mit Entscheidung „behalten, ändern, streichen“. Danach wird jeder neue Claim vor der Nutzung im Claim-Register erfasst. Die Inventur wird jährlich aktualisiert.</t>
  </si>
  <si>
    <t xml:space="preserve">detektiv (Inventur); präventiv (Registerpflicht)</t>
  </si>
  <si>
    <t xml:space="preserve">einmalig, danach jährlich; Registerpflicht laufend</t>
  </si>
  <si>
    <t xml:space="preserve">Claim-Governance-Owner mit Marketing, Produktmanagement und E-Commerce</t>
  </si>
  <si>
    <t xml:space="preserve">Inventurprotokoll; Claim-Register mit Entscheidung je Claim</t>
  </si>
  <si>
    <t xml:space="preserve">Stichprobe von 10 Aussagen aus Website, Verpackung und Social Media: Jede Aussage ist im Register erfasst und entschieden.</t>
  </si>
  <si>
    <t xml:space="preserve">Neu (ein Claim-Register besteht meist nicht)</t>
  </si>
  <si>
    <t xml:space="preserve">Excel-Register mit Claim-ID, Wortlaut, Kanal, Risikoklasse, Evidenzlink, Freigabe und Ablaufdatum</t>
  </si>
  <si>
    <t xml:space="preserve">Organisation (dient Pflicht)</t>
  </si>
  <si>
    <t xml:space="preserve">RB C01; RB Kap. 6.10 (Bausteine 2 und 3)</t>
  </si>
  <si>
    <t xml:space="preserve">K2</t>
  </si>
  <si>
    <t xml:space="preserve">Eine per se unzulässige Aussage wird verwendet: allgemeine Umweltaussage ohne Spitzenleistung, Teil als Ganzes, kompensationsbasierte Produktneutralität, gesetzliche Pflicht als Besonderheit, Obsoleszenz-Praktiken; dazu irrelevante Vorteile.</t>
  </si>
  <si>
    <t xml:space="preserve">A2, A4, A5, A8, A10 – Anhang Nr. 4a, 4b, 4c, 10a, 23d UWG; A7 – § 5 Abs. 3 Nr. 3 UWG</t>
  </si>
  <si>
    <t xml:space="preserve">KZ2 Zulässigkeit</t>
  </si>
  <si>
    <t xml:space="preserve">Kontrollaktivitäten</t>
  </si>
  <si>
    <t xml:space="preserve">Jeder Claim-Entwurf wird vor der fachlichen Prüfung gegen die Negativliste geprüft und einer Risikoklasse zugeordnet (0, A, B, C). Allgemeine Begriffe bleiben nur mit anerkannter hervorragender Umweltleistung (EU-Umweltzeichen, amtlich anerkanntes Typ-I-Zeichen) oder klarer Spezifizierung im selben Medium. Zusätzlich wird geprüft, ob eine beworbene Eigenschaft ohnehin gesetzlich vorgeschrieben ist oder ein irrelevanter Vorteil beworben wird. Klasse 0 wird nicht weiterbearbeitet.</t>
  </si>
  <si>
    <t xml:space="preserve">manuell (optional IT-gestützte Stichwortsuche)</t>
  </si>
  <si>
    <t xml:space="preserve">je Claim</t>
  </si>
  <si>
    <t xml:space="preserve">Claim-Governance-Owner (Compliance)</t>
  </si>
  <si>
    <t xml:space="preserve">Klassifizierungsvermerk im Register (Klasse, Ergebnis der Negativlisten-Prüfung)</t>
  </si>
  <si>
    <t xml:space="preserve">Stichprobe von 10 freigegebenen Claims: Klassifizierungsvermerk vorhanden; erneute Prüfung gegen die Negativliste ergibt keinen Treffer.</t>
  </si>
  <si>
    <t xml:space="preserve">Neu (Negativliste); eingebaut in die bestehende Werbefreigabe</t>
  </si>
  <si>
    <t xml:space="preserve">„Umweltfreundlich verpackt“ ist ein Treffer und wird ersetzt durch „Verpackung zu 80 % aus recyceltem Kunststoff“</t>
  </si>
  <si>
    <t xml:space="preserve">Word K2; RB C03, C04, C06; RB Kap. 6.4</t>
  </si>
  <si>
    <t xml:space="preserve">K18</t>
  </si>
  <si>
    <t xml:space="preserve">KI-Werkzeuge erzeugen unzulässige oder unbelegte Claims in großer Zahl, etwa in Produkttexten oder Chatbot-Antworten.</t>
  </si>
  <si>
    <t xml:space="preserve">A1, A2 – § 5 UWG; Anhang Nr. 4a UWG</t>
  </si>
  <si>
    <t xml:space="preserve">KZ1 Vollständigkeit; KZ2 Zulässigkeit</t>
  </si>
  <si>
    <t xml:space="preserve">Ein Negativlisten-Filter prüft Prompts und Ausgaben. KI-generierte Texte mit Umwelt-, Sozial- oder Haltbarkeitsbezug werden vor der Veröffentlichung von einem Menschen freigegeben. Prompt, Ausgabe und Freigabe werden protokolliert.</t>
  </si>
  <si>
    <t xml:space="preserve">automatisiert (Filter) und manuell (Freigabe)</t>
  </si>
  <si>
    <t xml:space="preserve">je generiertem Text</t>
  </si>
  <si>
    <t xml:space="preserve">Digital, E-Commerce mit Compliance</t>
  </si>
  <si>
    <t xml:space="preserve">Filterkonfiguration; Freigabeprotokoll; Logs</t>
  </si>
  <si>
    <t xml:space="preserve">Filtertest mit 10 Begriffen der Negativliste; Stichprobe von 10 veröffentlichten KI-Texten auf Freigabenachweis.</t>
  </si>
  <si>
    <t xml:space="preserve">Neu (nur bei KI-Nutzung)</t>
  </si>
  <si>
    <t xml:space="preserve">Ein Sprachmodell schreibt Shop-Texte; „nachhaltig produziert“ wird vom Filter markiert und vor Veröffentlichung gestrichen</t>
  </si>
  <si>
    <t xml:space="preserve">Organisation; automatisierter Filter: Best Practice</t>
  </si>
  <si>
    <t xml:space="preserve">nein</t>
  </si>
  <si>
    <t xml:space="preserve">bei Nutzung</t>
  </si>
  <si>
    <t xml:space="preserve">bei Nutzung (menschliche Freigabe)</t>
  </si>
  <si>
    <t xml:space="preserve">RB C18; RB Kap. 13</t>
  </si>
  <si>
    <t xml:space="preserve">K3</t>
  </si>
  <si>
    <t xml:space="preserve">Der Claim ist unrichtig, überdehnt (Teil als Ganzes), methodisch nicht haltbar oder im Streitfall nicht belegbar.</t>
  </si>
  <si>
    <t xml:space="preserve">A1, A4, A12 – § 5 Abs. 2 Nr. 1 UWG; Anhang Nr. 4b UWG; Art. 12 UGP-RL</t>
  </si>
  <si>
    <t xml:space="preserve">KZ3 Tatsächlichkeit und Richtigkeit; KZ4 Darstellung</t>
  </si>
  <si>
    <t xml:space="preserve">Der fachliche Owner prüft vor der Freigabe Daten und Quelle, Berechnung, Methode (mit Begründung der Methodenwahl), Scope-Kongruenz (Geltungsbereich der Aussage = Geltungsbereich der Evidenz) sowie Datenstand und Gültigkeit. Das Ergebnis wird als Prüfvermerk im Evidenzdossier festgehalten; der Prüfer ist nicht der Ersteller.</t>
  </si>
  <si>
    <t xml:space="preserve">Fachlicher Claim-Owner (Sustainability, Produktmanagement, QM)</t>
  </si>
  <si>
    <t xml:space="preserve">Evidenzdossier mit Prüfvermerk (Datum, Name, Ergebnis)</t>
  </si>
  <si>
    <t xml:space="preserve">Stichprobe von 10 Claims: Dossier vollständig (Daten, Methode, Scope, Gültigkeit); eine quantitative Aussage wird nachgerechnet.</t>
  </si>
  <si>
    <t xml:space="preserve">Neu (Dossierstandard); nutzt die bestehende Dokumentenlenkung</t>
  </si>
  <si>
    <t xml:space="preserve">„80 % Rezyklat“: Lieferantenzertifikat, Stückliste, Berechnung des Gewichtsanteils, Prüfvermerk</t>
  </si>
  <si>
    <t xml:space="preserve">Word K3; RB C05, C07, C08; RB Kap. 6.5, 6.7</t>
  </si>
  <si>
    <t xml:space="preserve">K15</t>
  </si>
  <si>
    <t xml:space="preserve">Claims beruhen auf Lieferantenangaben, die fehlen, falsch oder abgelaufen sind oder für ein anderes Material bzw. einen anderen Standort gelten.</t>
  </si>
  <si>
    <t xml:space="preserve">A1, A12 – § 5 UWG; Art. 12 UGP-RL</t>
  </si>
  <si>
    <t xml:space="preserve">KZ3 Tatsächlichkeit und Richtigkeit; KZ5 Gültigkeit</t>
  </si>
  <si>
    <t xml:space="preserve">Claimrelevante Zertifikate und Erklärungen werden bei der Lieferantenfreigabe, jährlich und stichprobenartig beim Wareneingang geprüft: Aussteller, Gültigkeit, Geltungsbereich (Material, Standort, Produkt) und Übereinstimmung mit dem Claim. Lieferverträge enthalten Nachweis- und Änderungsmeldepflichten.</t>
  </si>
  <si>
    <t xml:space="preserve">präventiv und detektiv</t>
  </si>
  <si>
    <t xml:space="preserve">bei Lieferantenfreigabe; jährlich; Stichprobe beim Wareneingang</t>
  </si>
  <si>
    <t xml:space="preserve">Einkauf mit QM</t>
  </si>
  <si>
    <t xml:space="preserve">Lieferantenakte; Zertifikatsliste mit Ablaufdaten</t>
  </si>
  <si>
    <t xml:space="preserve">Stichprobe von 5 claimrelevanten Lieferanten: gültiges Zertifikat vorhanden, Geltungsbereich passt zum Claim.</t>
  </si>
  <si>
    <t xml:space="preserve">Anpassung (bestehende Lieferantenbewertung und Wareneingangsprüfung erweitern)</t>
  </si>
  <si>
    <t xml:space="preserve">Rezyklatzertifikat des Folienlieferanten mit Ablaufdatum, im Claim-Register verknüpft</t>
  </si>
  <si>
    <t xml:space="preserve">mittel</t>
  </si>
  <si>
    <t xml:space="preserve">ja, wenn Claims auf Lieferantendaten beruhen</t>
  </si>
  <si>
    <t xml:space="preserve">RB C13; RB Kap. 8.4; Word Kap. 8 (Supplier Evidence)</t>
  </si>
  <si>
    <t xml:space="preserve">K20</t>
  </si>
  <si>
    <t xml:space="preserve">Ein Vergleich („30 % weniger CO2 als das Vorgängermodell“, „die grünere Wahl“) beruht auf ungleicher Methode oder nennt Methode, verglichene Produkte und Aktualisierung nicht.</t>
  </si>
  <si>
    <t xml:space="preserve">A9 – Art. 7 Abs. 7 UGP-RL; § 5b Abs. 3a UWG; § 6 UWG</t>
  </si>
  <si>
    <t xml:space="preserve">Für jede Vergleichsaussage dokumentiert der Owner Vergleichsbasis, Methode, verglichene Produkte bzw. Anbieter und Aktualisierungsturnus. Legal prüft, ob diese Angaben in der Aussage bzw. im selben Medium bereitgestellt werden.</t>
  </si>
  <si>
    <t xml:space="preserve">je Vergleichsaussage</t>
  </si>
  <si>
    <t xml:space="preserve">Marketing mit Legal</t>
  </si>
  <si>
    <t xml:space="preserve">Methodenblatt im Dossier; Prüfvermerk Legal</t>
  </si>
  <si>
    <t xml:space="preserve">Alle Vergleichsaussagen im Register: Methodenblatt vorhanden, Pflichtangaben im Medium sichtbar.</t>
  </si>
  <si>
    <t xml:space="preserve">Anpassung (bestehende Rechtsprüfung vergleichender Werbung erweitern)</t>
  </si>
  <si>
    <t xml:space="preserve">Produktseite nennt Vergleichsprodukt, Bezugsjahr und Methode (z. B. CO2-Fußabdruck nach ISO 14067)</t>
  </si>
  <si>
    <t xml:space="preserve">gering bis mittel</t>
  </si>
  <si>
    <t xml:space="preserve">RB C08; RB Kap. 3.7, 6.5</t>
  </si>
  <si>
    <t xml:space="preserve">K4</t>
  </si>
  <si>
    <t xml:space="preserve">Ein Claim wird vom Ersteller selbst oder ohne die erforderliche Kompetenz freigegeben.</t>
  </si>
  <si>
    <t xml:space="preserve">alle; Zurechnung nach § 8 Abs. 2 UWG (A13)</t>
  </si>
  <si>
    <t xml:space="preserve">KZ6 Autorisierung</t>
  </si>
  <si>
    <t xml:space="preserve">Freigabe nach Freigabematrix: Klasse C durch die Leitung Marketing, Klasse B durch Compliance, Klasse A (u. a. Zukunfts-, Klima-, Vergleichs-, Haltbarkeits- und Siegelaussagen sowie Aussagen über das ganze Unternehmen) durch die Geschäftsleitung nach rechtlicher Prüfung. Klasse 0 wird nicht freigegeben. Ersteller, fachlicher Prüfer und Freigeber sind verschiedene Personen.</t>
  </si>
  <si>
    <t xml:space="preserve">manuell (workflowgestützt möglich)</t>
  </si>
  <si>
    <t xml:space="preserve">Compliance; Geschäftsleitung für Klasse A</t>
  </si>
  <si>
    <t xml:space="preserve">Freigabelog im Register (Name, Rolle, Datum, Version)</t>
  </si>
  <si>
    <t xml:space="preserve">Stichprobe von 10 Claims: Freigabe durch die zuständige Instanz laut Matrix; Ersteller ≠ Freigeber; Freigabe vor Veröffentlichung.</t>
  </si>
  <si>
    <t xml:space="preserve">Anpassung (Kompetenzordnung und bestehende Werbefreigabe um Risikoklassen erweitern)</t>
  </si>
  <si>
    <t xml:space="preserve">„Klimaneutral bis 2035“ nur mit GF-Beschluss; Newsletter-Claim der Klasse C durch die Leitung Marketing</t>
  </si>
  <si>
    <t xml:space="preserve">Word K4; RB C09, C10; RB Kap. 6.6</t>
  </si>
  <si>
    <t xml:space="preserve">Nicht freigegebene oder nachträglich geänderte Fassungen werden veröffentlicht (Website, Shop, Verpackung, Druck, Social Media).</t>
  </si>
  <si>
    <t xml:space="preserve">A1–A14, insbesondere A2–A5</t>
  </si>
  <si>
    <t xml:space="preserve">KZ6 Autorisierung; KZ1 Vollständigkeit</t>
  </si>
  <si>
    <t xml:space="preserve">Veröffentlichung und Druckfreigabe nur mit gültiger Claim-ID und freigegebener Version aus dem Register. In Web-CMS, DAM oder PIM als Pflichtfeld bzw. Workflow-Status umgesetzt, sonst als Checkliste in der Druck- und Verpackungsfreigabe.</t>
  </si>
  <si>
    <t xml:space="preserve">automatisiert (System) oder manuell (Checkliste)</t>
  </si>
  <si>
    <t xml:space="preserve">je Veröffentlichung</t>
  </si>
  <si>
    <t xml:space="preserve">Marketing, E-Commerce, Verpackungsentwicklung</t>
  </si>
  <si>
    <t xml:space="preserve">Systemprotokoll bzw. Druckfreigabe mit Claim-ID; Belegexemplar oder Screenshot</t>
  </si>
  <si>
    <t xml:space="preserve">Stichprobe von 10 veröffentlichten Inhalten und Verpackungen: Claim-ID vorhanden, Wortlaut entspricht der freigegebenen Version.</t>
  </si>
  <si>
    <t xml:space="preserve">Anpassung (bestehende Druck- und Webfreigabe um das Pflichtfeld Claim-ID erweitern)</t>
  </si>
  <si>
    <t xml:space="preserve">Das Web-CMS schaltet eine Produktseite mit Umweltbezug erst nach Eintrag der Claim-ID frei</t>
  </si>
  <si>
    <t xml:space="preserve">ja (als Checkliste)</t>
  </si>
  <si>
    <t xml:space="preserve">Word K1; RB C11</t>
  </si>
  <si>
    <t xml:space="preserve">K14</t>
  </si>
  <si>
    <t xml:space="preserve">Unberechtigte Personen, etwa Agenturen, ändern oder veröffentlichen Inhalte an der Freigabe vorbei.</t>
  </si>
  <si>
    <t xml:space="preserve">alle</t>
  </si>
  <si>
    <t xml:space="preserve">Kontrollaktivitäten (IT)</t>
  </si>
  <si>
    <t xml:space="preserve">Veröffentlichungsrechte in Web-CMS, Shop, PIM und Social-Media-Konten sind auf definierte Rollen beschränkt; Änderungen werden protokolliert. Die Berechtigungen werden halbjährlich überprüft.</t>
  </si>
  <si>
    <t xml:space="preserve">IT-gestützt</t>
  </si>
  <si>
    <t xml:space="preserve">laufend; Überprüfung halbjährlich</t>
  </si>
  <si>
    <t xml:space="preserve">IT mit Marketing Operations</t>
  </si>
  <si>
    <t xml:space="preserve">Berechtigungsliste; Protokoll der Überprüfung; Änderungslog</t>
  </si>
  <si>
    <t xml:space="preserve">Abgleich der Berechtigungsliste mit dem Rollenkonzept; Stichprobe im Änderungslog.</t>
  </si>
  <si>
    <t xml:space="preserve">Anpassung (bestehende IT-Berechtigungskontrollen auf Content-Systeme ausweiten)</t>
  </si>
  <si>
    <t xml:space="preserve">Agentur-Zugänge zum Shop mit Entwurfs-, aber ohne Veröffentlichungsrecht</t>
  </si>
  <si>
    <t xml:space="preserve">optional</t>
  </si>
  <si>
    <t xml:space="preserve">Word Kap. 7.4 (IT-Kontrollen)</t>
  </si>
  <si>
    <t xml:space="preserve">K10</t>
  </si>
  <si>
    <t xml:space="preserve">Vorvertragliche Pflichtinformationen fehlen oder sind falsch: harmonisierter Gewährleistungshinweis, Label zur Haltbarkeitsgarantie, Mindestdauer von Software-Updates, Reparatur- und Ersatzteilinformationen, umweltfreundliche Lieferoptionen.</t>
  </si>
  <si>
    <t xml:space="preserve">A11 – Art. 246, 246a EGBGB; VRRL Art. 5, 6; DVO (EU) 2025/1960</t>
  </si>
  <si>
    <t xml:space="preserve">KZ9 Pflichtinformationen</t>
  </si>
  <si>
    <t xml:space="preserve">Das Datenmodell in PIM und Shop enthält Pflichtattribute; Artikel ohne vollständige Pflichtangaben werden nicht freigeschaltet. Herstellerangaben (Haltbarkeitsgarantie, Update-Dauer, Ersatzteile) werden bei der Listung angefordert und bei Änderungen aktualisiert. Ein Teil der Pflichten greift nur, soweit der Hersteller die Informationen bereitstellt.</t>
  </si>
  <si>
    <t xml:space="preserve">automatisiert (Pflichtfeldlogik)</t>
  </si>
  <si>
    <t xml:space="preserve">laufend; Datenqualitätsbericht monatlich</t>
  </si>
  <si>
    <t xml:space="preserve">E-Commerce, Produktdatenmanagement</t>
  </si>
  <si>
    <t xml:space="preserve">Validierungsregeln im PIM; Datenqualitätsbericht</t>
  </si>
  <si>
    <t xml:space="preserve">Stichprobe von 10 Artikelseiten: Gewährleistungshinweis sichtbar; Label bei Herstellergarantie; Pflichtangaben vollständig.</t>
  </si>
  <si>
    <t xml:space="preserve">Anpassung (bestehendes PIM-Datenmodell erweitern)</t>
  </si>
  <si>
    <t xml:space="preserve">Pflichtattribut „Haltbarkeitsgarantie Hersteller (Jahre)“ steuert automatisch die Anzeige des Labels</t>
  </si>
  <si>
    <t xml:space="preserve">hoch im Onlinehandel</t>
  </si>
  <si>
    <t xml:space="preserve">ja, bei Onlinehandel</t>
  </si>
  <si>
    <t xml:space="preserve">Word K10</t>
  </si>
  <si>
    <t xml:space="preserve">K16</t>
  </si>
  <si>
    <t xml:space="preserve">Agenturen, Influencer und Händler verwenden eigene, nicht freigegebene Claims; Unterlassungs- und Beseitigungsansprüche richten sich auch gegen das Unternehmen.</t>
  </si>
  <si>
    <t xml:space="preserve">A13 – § 8 Abs. 2 UWG</t>
  </si>
  <si>
    <t xml:space="preserve">Verträge mit Agenturen, Influencern und Händlern regeln: Nutzung nur freigegebener Claims aus der Claim-Bibliothek, Freigabevorbehalt, Mitwirkung bei der Beseitigung, Haftung. Geprüft wird bei Vertragsschluss und Verlängerung.</t>
  </si>
  <si>
    <t xml:space="preserve">bei Vertragsschluss und Verlängerung</t>
  </si>
  <si>
    <t xml:space="preserve">Einkauf mit Legal und Marketing</t>
  </si>
  <si>
    <t xml:space="preserve">Vertragsmuster; Vertragsliste mit Klauselstatus</t>
  </si>
  <si>
    <t xml:space="preserve">Stichprobe von 5 aktiven Verträgen: Klauseln enthalten.</t>
  </si>
  <si>
    <t xml:space="preserve">Anpassung (bestehende Vertragsmuster erweitern)</t>
  </si>
  <si>
    <t xml:space="preserve">Influencer-Briefing mit Claim-Bibliothek; Freigabe jedes Beitrags mit Umweltbezug</t>
  </si>
  <si>
    <t xml:space="preserve">RB C16; RB Kap. 6.10 (Baustein 7)</t>
  </si>
  <si>
    <t xml:space="preserve">K9</t>
  </si>
  <si>
    <t xml:space="preserve">Trotz Vertragsklauseln veröffentlichen Dritte abweichende Claims.</t>
  </si>
  <si>
    <t xml:space="preserve">Quartalsweise Stichprobe von Agentur-, Influencer-, Händler- und Marktplatzinhalten auf Negativbegriffe und nicht registrierte Claims. Abweichungen werden zur Korrektur gemeldet und bis zur Erledigung verfolgt.</t>
  </si>
  <si>
    <t xml:space="preserve">detektiv</t>
  </si>
  <si>
    <t xml:space="preserve">quartalsweise</t>
  </si>
  <si>
    <t xml:space="preserve">Marketing</t>
  </si>
  <si>
    <t xml:space="preserve">Stichprobenprotokoll mit Maßnahmen</t>
  </si>
  <si>
    <t xml:space="preserve">Nachvollzug der letzten zwei Protokolle; Erledigung der festgestellten Abweichungen prüfen.</t>
  </si>
  <si>
    <t xml:space="preserve">Neu</t>
  </si>
  <si>
    <t xml:space="preserve">10 Influencer-Beiträge und 20 Marktplatz-Listings je Quartal</t>
  </si>
  <si>
    <t xml:space="preserve">Word K9; RB C16</t>
  </si>
  <si>
    <t xml:space="preserve">K17</t>
  </si>
  <si>
    <t xml:space="preserve">Vertrieb, Kundenservice und Messepersonal treffen mündlich unzulässige Aussagen, etwa „klimaneutral“ oder „hält ewig“.</t>
  </si>
  <si>
    <t xml:space="preserve">A2, A5, A10 – Anhang Nr. 4a, 4c, 23d UWG; A13 – § 8 Abs. 2 UWG</t>
  </si>
  <si>
    <t xml:space="preserve">Information und Kommunikation</t>
  </si>
  <si>
    <t xml:space="preserve">Einseitige Kurzregel („Was ich nicht sagen darf“) und jährliche Unterweisung. Skripte und FAQ im Kundenservice enthalten nur freigegebene Claims. Optional Stichprobe, z. B. Testanruf.</t>
  </si>
  <si>
    <t xml:space="preserve">präventiv; detektiv (Stichprobe)</t>
  </si>
  <si>
    <t xml:space="preserve">jährlich; Skripte bei Änderung</t>
  </si>
  <si>
    <t xml:space="preserve">Vertriebsleitung, Leitung Kundenservice mit Compliance</t>
  </si>
  <si>
    <t xml:space="preserve">Schulungsnachweise; freigegebene Skripte</t>
  </si>
  <si>
    <t xml:space="preserve">Schulungsquote der Zielgruppen; Abgleich der Skripte mit der Claim-Bibliothek.</t>
  </si>
  <si>
    <t xml:space="preserve">Anpassung (bestehende Unterweisungen und Skripte)</t>
  </si>
  <si>
    <t xml:space="preserve">Hotline-FAQ „Ist das Produkt klimaneutral?“ mit freigegebener Antwort</t>
  </si>
  <si>
    <t xml:space="preserve">ja (Kurzregel und Schulung)</t>
  </si>
  <si>
    <t xml:space="preserve">RB C17</t>
  </si>
  <si>
    <t xml:space="preserve">K7</t>
  </si>
  <si>
    <t xml:space="preserve">Ein Claim wird unrichtig, weil sich Produkt, Rezeptur, Verpackung, Lieferant oder Datenjahr ändern oder weil Evidenz bzw. Lizenz abläuft.</t>
  </si>
  <si>
    <t xml:space="preserve">A1, A3, A12</t>
  </si>
  <si>
    <t xml:space="preserve">KZ5 Gültigkeit; KZ8 Reaktionsfähigkeit</t>
  </si>
  <si>
    <t xml:space="preserve">Änderungsanträge zu Produkt, Verpackung und Lieferant enthalten die Pflichtfrage „Claim betroffen?“; bei „ja“ erfolgt die Re-Validierung vor der Umsetzung. Das Register liefert monatlich eine Liste ablaufender Evidenz und Lizenzen (Vorwarnung 60 Tage); Claims mit abgelaufener Evidenz werden gesperrt.</t>
  </si>
  <si>
    <t xml:space="preserve">manuell oder IT-gestützt</t>
  </si>
  <si>
    <t xml:space="preserve">je Änderung; monatlich</t>
  </si>
  <si>
    <t xml:space="preserve">QM, Einkauf, Claim-Owner</t>
  </si>
  <si>
    <t xml:space="preserve">Änderungsprotokoll mit Claim-Feld; Register-Report</t>
  </si>
  <si>
    <t xml:space="preserve">Stichprobe von 5 Änderungsanträgen: Feld ausgefüllt, Re-Validierung dokumentiert. Register: keine aktiven Claims mit abgelaufener Evidenz.</t>
  </si>
  <si>
    <t xml:space="preserve">Anpassung (bestehende Änderungslenkung); neu: Ablaufwarnung</t>
  </si>
  <si>
    <t xml:space="preserve">Ein Lieferantenwechsel bei der Folie löst die Re-Validierung von „80 % Rezyklat“ aus</t>
  </si>
  <si>
    <t xml:space="preserve">ja (manuell)</t>
  </si>
  <si>
    <t xml:space="preserve">Word K7; RB C12, C13</t>
  </si>
  <si>
    <t xml:space="preserve">K8</t>
  </si>
  <si>
    <t xml:space="preserve">Nicht registrierte oder veraltete Claims sind öffentlich sichtbar.</t>
  </si>
  <si>
    <t xml:space="preserve">A2–A5, A10 (Per-se-Verbote); A1</t>
  </si>
  <si>
    <t xml:space="preserve">Website, Shop, Marktplätze und Social Media werden auf Negativbegriffe, Icons und Claims ohne Claim-ID durchsucht. Funde werden bereinigt oder nachträglich registriert und geprüft.</t>
  </si>
  <si>
    <t xml:space="preserve">manuell oder automatisiert (Crawler)</t>
  </si>
  <si>
    <t xml:space="preserve">quartalsweise (KMU: halbjährlich)</t>
  </si>
  <si>
    <t xml:space="preserve">Marketing mit Compliance</t>
  </si>
  <si>
    <t xml:space="preserve">Scan-Bericht mit Funden und Maßnahmen</t>
  </si>
  <si>
    <t xml:space="preserve">Nachvollzug des letzten Scans; eigene Stichsuche nach drei Negativbegriffen.</t>
  </si>
  <si>
    <t xml:space="preserve">Suche nach „umweltfreundlich“, „klimaneutral“, „nachhaltig“ und Blatt-Icons in allen Shop-Texten</t>
  </si>
  <si>
    <t xml:space="preserve">Organisation; automatisiert: Best Practice</t>
  </si>
  <si>
    <t xml:space="preserve">ja (halbjährlich, manuell)</t>
  </si>
  <si>
    <t xml:space="preserve">Word K8; RB C02</t>
  </si>
  <si>
    <t xml:space="preserve">K11</t>
  </si>
  <si>
    <t xml:space="preserve">Nachhaltigkeitsbericht, Website, Werbung und B2B-Datenblätter widersprechen sich; Widersprüche dienen Klägern als Beweismittel.</t>
  </si>
  <si>
    <t xml:space="preserve">A1, A6</t>
  </si>
  <si>
    <t xml:space="preserve">KZ3 Tatsächlichkeit und Richtigkeit</t>
  </si>
  <si>
    <t xml:space="preserve">Vor Veröffentlichung des Nachhaltigkeitsberichts und bei Klasse-A-Claims werden Kennzahlen und Aussagen zwischen Bericht, Website, Werbung und B2B-Unterlagen abgeglichen; Abweichungen werden geklärt.</t>
  </si>
  <si>
    <t xml:space="preserve">jährlich; bei Klasse-A-Claims</t>
  </si>
  <si>
    <t xml:space="preserve">Sustainability mit Compliance</t>
  </si>
  <si>
    <t xml:space="preserve">Abgleichprotokoll</t>
  </si>
  <si>
    <t xml:space="preserve">Nachvollzug des Protokolls; Abgleich von drei Kennzahlen.</t>
  </si>
  <si>
    <t xml:space="preserve">Der Bericht nennt 18 % weniger CO2, die Website 20 %: Korrektur vor Veröffentlichung</t>
  </si>
  <si>
    <t xml:space="preserve">Best Practice</t>
  </si>
  <si>
    <t xml:space="preserve">gering</t>
  </si>
  <si>
    <t xml:space="preserve">Word K11; RB C19</t>
  </si>
  <si>
    <t xml:space="preserve">K5</t>
  </si>
  <si>
    <t xml:space="preserve">Ein Siegel (auch Eigenlabel, Icon oder Plattform-Flag) beruht weder auf einem Zertifizierungssystem noch auf staatlicher Festsetzung; die Lizenz ist abgelaufen oder gilt nicht für diese Variante.</t>
  </si>
  <si>
    <t xml:space="preserve">A3 – Anhang Nr. 2a UWG; Art. 2 lit. q, r UGP-RL</t>
  </si>
  <si>
    <t xml:space="preserve">KZ2 Zulässigkeit; KZ5 Gültigkeit</t>
  </si>
  <si>
    <t xml:space="preserve">Vor der Nutzung eines Siegels werden die vier Kriterien des Zertifizierungssystems bzw. die staatliche Festsetzung, der Lizenzumfang (Produkt, Variante, Medium) und die Laufzeit geprüft und im Label-Register erfasst. Jährliche Überprüfung.</t>
  </si>
  <si>
    <t xml:space="preserve">vor Nutzung; jährlich</t>
  </si>
  <si>
    <t xml:space="preserve">Produktmanagement, QM</t>
  </si>
  <si>
    <t xml:space="preserve">Label-Register mit Systemnachweis, Lizenz und Ablaufdatum</t>
  </si>
  <si>
    <t xml:space="preserve">Abgleich aller im Markt genutzten Siegel mit dem Label-Register; Lizenzen gültig.</t>
  </si>
  <si>
    <t xml:space="preserve">Neu (Label-Register)</t>
  </si>
  <si>
    <t xml:space="preserve">Eigenes Icon „Grüne Wahl“ ohne Zertifizierungssystem wird entfernt; Blauer Engel mit gültigem Zeichennutzungsvertrag bleibt</t>
  </si>
  <si>
    <t xml:space="preserve">hoch bei Siegelnutzung</t>
  </si>
  <si>
    <t xml:space="preserve">Word K5; RB C14</t>
  </si>
  <si>
    <t xml:space="preserve">K6</t>
  </si>
  <si>
    <t xml:space="preserve">Eine Zukunftsaussage wird ohne detaillierten, realistischen Umsetzungsplan, ohne regelmäßige Prüfung durch einen unabhängigen externen Sachverständigen oder ohne Veröffentlichung der Ergebnisse getroffen; eine Zielverfehlung macht die Aussage irreführend.</t>
  </si>
  <si>
    <t xml:space="preserve">A6 – Art. 6 Abs. 2 lit. d UGP-RL; § 5 Abs. 3 Nr. 4 UWG</t>
  </si>
  <si>
    <t xml:space="preserve">KZ2 Zulässigkeit; KZ3 Tatsächlichkeit und Richtigkeit</t>
  </si>
  <si>
    <t xml:space="preserve">Freigabe nur, wenn vorliegen: (1) Beschluss der Geschäftsleitung, (2) Umsetzungsplan mit messbaren, zeitgebundenen Zielen und zugewiesenen Ressourcen, (3) Prüfung durch einen unabhängigen externen Sachverständigen, (4) für Verbraucher zugängliche Veröffentlichung der Prüfergebnisse. Jährlicher Soll-Ist-Abgleich.</t>
  </si>
  <si>
    <t xml:space="preserve">je Aussage; jährlich</t>
  </si>
  <si>
    <t xml:space="preserve">Geschäftsleitung, Sustainability</t>
  </si>
  <si>
    <t xml:space="preserve">Beschluss; Plan; Prüfvermerk; Link oder QR-Code zur Veröffentlichung</t>
  </si>
  <si>
    <t xml:space="preserve">Für jede Zukunftsaussage im Register: alle vier Nachweise vorhanden und aktuell.</t>
  </si>
  <si>
    <t xml:space="preserve">Neu (Sonderprozess)</t>
  </si>
  <si>
    <t xml:space="preserve">„Klimaneutral bis 2035“: Plan und Prüfbericht per QR-Code auf der Website abrufbar</t>
  </si>
  <si>
    <t xml:space="preserve">Pflicht (bedingt) für die Inhalte; Kontrolle: Organisation</t>
  </si>
  <si>
    <t xml:space="preserve">Word K6; RB C15; IDW-Mustervermerke</t>
  </si>
  <si>
    <t xml:space="preserve">K21</t>
  </si>
  <si>
    <t xml:space="preserve">Haltbarkeits-, Reparatur- oder Update-Aussagen sind falsch; bekannte haltbarkeitsbegrenzende Merkmale werden nicht erfasst; Funktions-Updates werden als notwendig dargestellt.</t>
  </si>
  <si>
    <t xml:space="preserve">A10 – Anhang Nr. 23d UWG; A1</t>
  </si>
  <si>
    <t xml:space="preserve">Im Produktentstehungsprozess ist „Claims belegt und freigegeben“ ein Gate-Kriterium. Haltbarkeitsaussagen nur mit Prüfbericht unter normalen Nutzungsbedingungen. Bekannte haltbarkeitsbegrenzende Merkmale werden dokumentiert und an Marketing gemeldet. Die Update-Kommunikation unterscheidet notwendige Updates von Funktionserweiterungen.</t>
  </si>
  <si>
    <t xml:space="preserve">je Produktentwicklung (Gate)</t>
  </si>
  <si>
    <t xml:space="preserve">Produktmanagement, Entwicklung mit QM</t>
  </si>
  <si>
    <t xml:space="preserve">Gate-Protokoll; Prüfberichte; Update-Policy</t>
  </si>
  <si>
    <t xml:space="preserve">Stichprobe von 3 Produkteinführungen: Gate-Kriterium dokumentiert; Prüfbericht zur Haltbarkeitsaussage vorhanden.</t>
  </si>
  <si>
    <t xml:space="preserve">Anpassung (bestehender Stage-Gate-Prozess)</t>
  </si>
  <si>
    <t xml:space="preserve">„Extrem langlebig“ nur mit Dauerlauftest unter normalen Nutzungsbedingungen</t>
  </si>
  <si>
    <t xml:space="preserve">mittel (produzierende Unternehmen)</t>
  </si>
  <si>
    <t xml:space="preserve">bei Relevanz</t>
  </si>
  <si>
    <t xml:space="preserve">Word Kap. 7.4 (Stage-Gate); RB Kap. 4.2 Nr. 8</t>
  </si>
  <si>
    <t xml:space="preserve">K19</t>
  </si>
  <si>
    <t xml:space="preserve">Vor dem 27.09.2026 hergestellte Verpackungen und Werbemittel mit unzulässigen Claims sind weiter im Markt; nach einer Unterlassungserklärung löst jede Wiederholung eine Vertragsstrafe aus.</t>
  </si>
  <si>
    <t xml:space="preserve">A14 – § 15b UWG (beschlossen, noch nicht in Kraft); CPC Common Understanding; A2–A5</t>
  </si>
  <si>
    <t xml:space="preserve">KZ8 Reaktionsfähigkeit</t>
  </si>
  <si>
    <t xml:space="preserve">Inventur betroffener Waren, Verpackungen und Werbemittel; dokumentierter Beseitigungsplan (Abverkauf, Überkleben, Umstellung der Neuproduktion); monatliche Fortschrittskontrolle bis zum Abschluss.</t>
  </si>
  <si>
    <t xml:space="preserve">monatlich bis Abschluss</t>
  </si>
  <si>
    <t xml:space="preserve">Supply Chain, Vertrieb mit Geschäftsleitung</t>
  </si>
  <si>
    <t xml:space="preserve">Bestandsliste; Beseitigungsplan; Fortschrittsprotokolle</t>
  </si>
  <si>
    <t xml:space="preserve">Abgleich der Bestandsliste mit Lager und Handel; Fortschritt gegen den Plan.</t>
  </si>
  <si>
    <t xml:space="preserve">Neu (befristet)</t>
  </si>
  <si>
    <t xml:space="preserve">40.000 Faltschachteln mit „klimaneutral“: Überkleben bis Jahresende, Neudruck ohne Claim</t>
  </si>
  <si>
    <t xml:space="preserve">Organisation (Dokumentation zählt in der Verhältnismäßigkeitsabwägung)</t>
  </si>
  <si>
    <t xml:space="preserve">hoch bei Verpackungen</t>
  </si>
  <si>
    <t xml:space="preserve">ja, falls Altbestände</t>
  </si>
  <si>
    <t xml:space="preserve">RB C20; RB Kap. 1.3.3</t>
  </si>
  <si>
    <t xml:space="preserve">K12</t>
  </si>
  <si>
    <t xml:space="preserve">Fristen werden versäumt, Evidenz ist nicht schnell verfügbar, der Claim wird nicht in allen Kanälen bereinigt; Wiederholungen lösen Vertragsstrafen aus.</t>
  </si>
  <si>
    <t xml:space="preserve">A12, A13, A14</t>
  </si>
  <si>
    <t xml:space="preserve">KZ7 Nachvollziehbarkeit; KZ8 Reaktionsfähigkeit</t>
  </si>
  <si>
    <t xml:space="preserve">Beanstandungen, Hinweisgebermeldungen und Abmahnungen gehen sofort an den Claim-Governance-Owner und Legal. Fristen werden erfasst, das Evidenzdossier wird abgerufen. Nach der Entscheidung werden alle Kanäle bereinigt und die Bereinigung dokumentiert; Erkenntnisse fließen in Negativliste und Kontrollen ein.</t>
  </si>
  <si>
    <t xml:space="preserve">je Fall</t>
  </si>
  <si>
    <t xml:space="preserve">Compliance, Legal</t>
  </si>
  <si>
    <t xml:space="preserve">Fallakte mit Fristen, Entscheidungen und Bereinigungsnachweis</t>
  </si>
  <si>
    <t xml:space="preserve">Nachvollzug aller Fälle des Jahres: Fristen eingehalten, Bereinigung vollständig; 48-Stunden-Test siehe K22.</t>
  </si>
  <si>
    <t xml:space="preserve">Anpassung (bestehendes Beschwerde- und Hinweisgebermanagement)</t>
  </si>
  <si>
    <t xml:space="preserve">Abmahnung wegen „umweltfreundlich“: Dossier binnen 48 Stunden, Unterlassungserklärung geprüft, alle Kanäle bereinigt</t>
  </si>
  <si>
    <t xml:space="preserve">Word K12; RB C21; RB Kap. 9.1</t>
  </si>
  <si>
    <t xml:space="preserve">K22</t>
  </si>
  <si>
    <t xml:space="preserve">Kontrollen wirken nicht oder werden umgangen, ohne dass es auffällt; Evidenz ist im Ernstfall nicht schnell verfügbar.</t>
  </si>
  <si>
    <t xml:space="preserve">alle; A12</t>
  </si>
  <si>
    <t xml:space="preserve">KZ7 Nachvollziehbarkeit</t>
  </si>
  <si>
    <t xml:space="preserve">Überwachung</t>
  </si>
  <si>
    <t xml:space="preserve">Halbjährlicher 48-Stunden-Test (Dossiers zu drei zufällig gewählten Claims abrufen). Jährlicher Test von Ausgestaltung und Wirksamkeit der Schlüsselkontrollen. Bericht mit Kennzahlen an die Geschäftsleitung.</t>
  </si>
  <si>
    <t xml:space="preserve">halbjährlich; jährlich</t>
  </si>
  <si>
    <t xml:space="preserve">Compliance bzw. Interne Revision; Geschäftsleitung (Review)</t>
  </si>
  <si>
    <t xml:space="preserve">Testprotokolle; Bericht an die Geschäftsleitung</t>
  </si>
  <si>
    <t xml:space="preserve">Durchsicht der Testprotokolle und des Berichts; Nachverfolgung festgestellter Mängel.</t>
  </si>
  <si>
    <t xml:space="preserve">Anpassung (bestehender Kontrolltestplan und Management-Review)</t>
  </si>
  <si>
    <t xml:space="preserve">Halbjahresbericht: Dossier-Vollständigkeit 96 %, zwei ablaufende Zertifikate, keine Abmahnung</t>
  </si>
  <si>
    <t xml:space="preserve">Organisation; 48-Stunden-Zielwert: Best Practice</t>
  </si>
  <si>
    <t xml:space="preserve">ja (halbjährlicher Review)</t>
  </si>
  <si>
    <t xml:space="preserve">RB C21, C22; RB Kap. 6.10 (Baustein 10)</t>
  </si>
  <si>
    <t xml:space="preserve">Kontrollziele KZ1–KZ9</t>
  </si>
  <si>
    <t xml:space="preserve">Nr.</t>
  </si>
  <si>
    <t xml:space="preserve">Leitfrage</t>
  </si>
  <si>
    <t xml:space="preserve">EmpCo-Bezug</t>
  </si>
  <si>
    <t xml:space="preserve">Zugeordnete Kontrollen</t>
  </si>
  <si>
    <t xml:space="preserve">KZ1</t>
  </si>
  <si>
    <t xml:space="preserve">Vollständigkeit</t>
  </si>
  <si>
    <t xml:space="preserve">Sind alle Claims in allen Kanälen und bei allen Urhebern erfasst?</t>
  </si>
  <si>
    <t xml:space="preserve">A1–A14</t>
  </si>
  <si>
    <t xml:space="preserve">K13, K18, K1, K16, K9, K8</t>
  </si>
  <si>
    <t xml:space="preserve">KZ2</t>
  </si>
  <si>
    <t xml:space="preserve">Zulässigkeit</t>
  </si>
  <si>
    <t xml:space="preserve">Berührt ein Claim ein Per-se-Verbot?</t>
  </si>
  <si>
    <t xml:space="preserve">A2–A5, A8, A10</t>
  </si>
  <si>
    <t xml:space="preserve">K2, K18, K17, K5, K6, K21</t>
  </si>
  <si>
    <t xml:space="preserve">KZ3</t>
  </si>
  <si>
    <t xml:space="preserve">Tatsächlichkeit und Richtigkeit</t>
  </si>
  <si>
    <t xml:space="preserve">Ist der Claim vor Veröffentlichung belegt und die Methode begründet?</t>
  </si>
  <si>
    <t xml:space="preserve">A1, A12</t>
  </si>
  <si>
    <t xml:space="preserve">K3, K15, K20, K11, K6, K21</t>
  </si>
  <si>
    <t xml:space="preserve">KZ4</t>
  </si>
  <si>
    <t xml:space="preserve">Darstellung</t>
  </si>
  <si>
    <t xml:space="preserve">Steht die Spezifizierung im selben Medium, ist Teil/Ganzes korrekt, fehlen keine wesentlichen Informationen?</t>
  </si>
  <si>
    <t xml:space="preserve">A2, A4, A9</t>
  </si>
  <si>
    <t xml:space="preserve">K3, K20</t>
  </si>
  <si>
    <t xml:space="preserve">KZ5</t>
  </si>
  <si>
    <t xml:space="preserve">Gültigkeit</t>
  </si>
  <si>
    <t xml:space="preserve">Gelten Evidenz und Nutzungsrechte für den gesamten Nutzungszeitraum?</t>
  </si>
  <si>
    <t xml:space="preserve">A3, A12</t>
  </si>
  <si>
    <t xml:space="preserve">K15, K7, K5</t>
  </si>
  <si>
    <t xml:space="preserve">KZ6</t>
  </si>
  <si>
    <t xml:space="preserve">Autorisierung</t>
  </si>
  <si>
    <t xml:space="preserve">Hat die zuständige Instanz freigegeben, ohne Selbstfreigabe?</t>
  </si>
  <si>
    <t xml:space="preserve">Organisation; A13</t>
  </si>
  <si>
    <t xml:space="preserve">K4, K1, K14, K16</t>
  </si>
  <si>
    <t xml:space="preserve">KZ7</t>
  </si>
  <si>
    <t xml:space="preserve">Nachvollziehbarkeit</t>
  </si>
  <si>
    <t xml:space="preserve">Sind Audit Trail und Dossier vollständig und schnell abrufbar?</t>
  </si>
  <si>
    <t xml:space="preserve">A12</t>
  </si>
  <si>
    <t xml:space="preserve">K12, K22</t>
  </si>
  <si>
    <t xml:space="preserve">KZ8</t>
  </si>
  <si>
    <t xml:space="preserve">Reaktionsfähigkeit</t>
  </si>
  <si>
    <t xml:space="preserve">Führen Trigger und Beanstandungen zeitnah zu Re-Validierung, Anpassung oder Rücknahme?</t>
  </si>
  <si>
    <t xml:space="preserve">A12–A14</t>
  </si>
  <si>
    <t xml:space="preserve">K7, K19, K12</t>
  </si>
  <si>
    <t xml:space="preserve">KZ9</t>
  </si>
  <si>
    <t xml:space="preserve">Pflichtinformationen</t>
  </si>
  <si>
    <t xml:space="preserve">Sind die vorvertraglichen Pflichtinformationen in allen Verkaufskanälen vollständig und richtig?</t>
  </si>
  <si>
    <t xml:space="preserve">A11</t>
  </si>
  <si>
    <t xml:space="preserve">Quelle: Research-Basis Kap. 8.1 (KZ1–KZ8), ergänzt um KZ9; Arbeitsdokument Kap. 7.2. K23 (Rahmen) wirkt auf alle Kontrollziele und ist hier nicht einzeln gezählt.</t>
  </si>
  <si>
    <t xml:space="preserve">EmpCo-Anforderungen A1–A14 und zugeordnete Kontrollen</t>
  </si>
  <si>
    <t xml:space="preserve">Anforderung</t>
  </si>
  <si>
    <t xml:space="preserve">EU</t>
  </si>
  <si>
    <t xml:space="preserve">Deutschland</t>
  </si>
  <si>
    <t xml:space="preserve">Spezifisch zugeordnete Kontrollen</t>
  </si>
  <si>
    <t xml:space="preserve">A1</t>
  </si>
  <si>
    <t xml:space="preserve">Irreführung über ökologische und soziale Merkmale sowie Zirkularität</t>
  </si>
  <si>
    <t xml:space="preserve">Art. 6 Abs. 1 lit. b UGP-RL</t>
  </si>
  <si>
    <t xml:space="preserve">§ 5 Abs. 2 Nr. 1 UWG</t>
  </si>
  <si>
    <t xml:space="preserve">Pflicht (gilt über § 5 UWG auch B2B)</t>
  </si>
  <si>
    <t xml:space="preserve">K18, K3, K15, K7, K8, K11, K21</t>
  </si>
  <si>
    <t xml:space="preserve">A2</t>
  </si>
  <si>
    <t xml:space="preserve">Keine allgemeine Umweltaussage ohne anerkannte hervorragende Umweltleistung oder Spezifizierung im selben Medium</t>
  </si>
  <si>
    <t xml:space="preserve">Anhang I Nr. 4a UGP-RL</t>
  </si>
  <si>
    <t xml:space="preserve">Anhang Nr. 4a UWG</t>
  </si>
  <si>
    <t xml:space="preserve">Pflicht (Per-se-Verbot)</t>
  </si>
  <si>
    <t xml:space="preserve">K2, K18, K17, K8, K19</t>
  </si>
  <si>
    <t xml:space="preserve">A3</t>
  </si>
  <si>
    <t xml:space="preserve">Kein Nachhaltigkeitssiegel ohne Zertifizierungssystem oder staatliche Festsetzung</t>
  </si>
  <si>
    <t xml:space="preserve">Anhang I Nr. 2a UGP-RL</t>
  </si>
  <si>
    <t xml:space="preserve">Anhang Nr. 2a UWG</t>
  </si>
  <si>
    <t xml:space="preserve">K7, K8, K5, K19</t>
  </si>
  <si>
    <t xml:space="preserve">A4</t>
  </si>
  <si>
    <t xml:space="preserve">Keine Aussage über das Ganze, wenn nur ein Aspekt betroffen ist</t>
  </si>
  <si>
    <t xml:space="preserve">Anhang I Nr. 4b UGP-RL</t>
  </si>
  <si>
    <t xml:space="preserve">Anhang Nr. 4b UWG</t>
  </si>
  <si>
    <t xml:space="preserve">K2, K3, K8, K19</t>
  </si>
  <si>
    <t xml:space="preserve">A5</t>
  </si>
  <si>
    <t xml:space="preserve">Keine kompensationsbasierte Neutralitätsaussage für ein Produkt</t>
  </si>
  <si>
    <t xml:space="preserve">Anhang I Nr. 4c UGP-RL</t>
  </si>
  <si>
    <t xml:space="preserve">Anhang Nr. 4c UWG</t>
  </si>
  <si>
    <t xml:space="preserve">K2, K17, K8, K19</t>
  </si>
  <si>
    <t xml:space="preserve">A6</t>
  </si>
  <si>
    <t xml:space="preserve">Zukunftsaussagen nur mit Umsetzungsplan und regelmäßiger Prüfung durch einen unabhängigen externen Sachverständigen</t>
  </si>
  <si>
    <t xml:space="preserve">Art. 6 Abs. 2 lit. d UGP-RL</t>
  </si>
  <si>
    <t xml:space="preserve">§ 5 Abs. 3 Nr. 4 UWG (Nummer nach Sekundärquellen)</t>
  </si>
  <si>
    <t xml:space="preserve">Pflicht (bedingt: nur bei Nutzung)</t>
  </si>
  <si>
    <t xml:space="preserve">K11, K6</t>
  </si>
  <si>
    <t xml:space="preserve">A7</t>
  </si>
  <si>
    <t xml:space="preserve">Keine Werbung mit irrelevanten Vorteilen</t>
  </si>
  <si>
    <t xml:space="preserve">Art. 6 Abs. 2 lit. e UGP-RL</t>
  </si>
  <si>
    <t xml:space="preserve">§ 5 Abs. 3 Nr. 3 UWG</t>
  </si>
  <si>
    <t xml:space="preserve">Pflicht (Einzelfallprüfung)</t>
  </si>
  <si>
    <t xml:space="preserve">A8</t>
  </si>
  <si>
    <t xml:space="preserve">Gesetzliche Anforderungen nicht als Besonderheit darstellen</t>
  </si>
  <si>
    <t xml:space="preserve">Anhang I Nr. 10a UGP-RL</t>
  </si>
  <si>
    <t xml:space="preserve">Anhang Nr. 10a UWG</t>
  </si>
  <si>
    <t xml:space="preserve">A9</t>
  </si>
  <si>
    <t xml:space="preserve">Vergleiche: Methode, verglichene Produkte und Anbieter sowie Aktualisierung angeben</t>
  </si>
  <si>
    <t xml:space="preserve">Art. 7 Abs. 7 UGP-RL</t>
  </si>
  <si>
    <t xml:space="preserve">§ 5b Abs. 3a UWG; § 6 UWG</t>
  </si>
  <si>
    <t xml:space="preserve">Pflicht</t>
  </si>
  <si>
    <t xml:space="preserve">A10</t>
  </si>
  <si>
    <t xml:space="preserve">Keine Obsoleszenz-, Haltbarkeits-, Reparatur- und Update-Praktiken nach der Schwarzen Liste</t>
  </si>
  <si>
    <t xml:space="preserve">Anhang I Nr. 23d–23j UGP-RL</t>
  </si>
  <si>
    <t xml:space="preserve">Anhang Nr. 23d UWG</t>
  </si>
  <si>
    <t xml:space="preserve">Pflicht (Per-se-Verbote)</t>
  </si>
  <si>
    <t xml:space="preserve">K2, K17, K8, K21</t>
  </si>
  <si>
    <t xml:space="preserve">Vorvertragliche Informationen: Gewährleistungshinweis, Garantie-Label, Updates, Reparatur und Ersatzteile, Lieferoptionen</t>
  </si>
  <si>
    <t xml:space="preserve">VRRL Art. 5, 6, 22a; DVO (EU) 2025/1960</t>
  </si>
  <si>
    <t xml:space="preserve">Art. 246, 246a EGBGB</t>
  </si>
  <si>
    <t xml:space="preserve">Pflicht (teils abhängig von Herstellerdaten)</t>
  </si>
  <si>
    <t xml:space="preserve">Nachweisfähigkeit von Tatsachenbehauptungen</t>
  </si>
  <si>
    <t xml:space="preserve">Art. 12 UGP-RL; Anhang I Nr. 4a</t>
  </si>
  <si>
    <t xml:space="preserve">Prozessrecht; sekundäre Darlegungslast</t>
  </si>
  <si>
    <t xml:space="preserve">faktische Beweislast</t>
  </si>
  <si>
    <t xml:space="preserve">K3, K15, K7, K12, K22</t>
  </si>
  <si>
    <t xml:space="preserve">A13</t>
  </si>
  <si>
    <t xml:space="preserve">Handeln von Mitarbeitenden und Beauftragten</t>
  </si>
  <si>
    <t xml:space="preserve">–</t>
  </si>
  <si>
    <t xml:space="preserve">§ 8 Abs. 2 UWG</t>
  </si>
  <si>
    <t xml:space="preserve">Pflicht (Zurechnung)</t>
  </si>
  <si>
    <t xml:space="preserve">K4, K16, K9, K17, K12</t>
  </si>
  <si>
    <t xml:space="preserve">A14</t>
  </si>
  <si>
    <t xml:space="preserve">Altbestände</t>
  </si>
  <si>
    <t xml:space="preserve">keine Übergangsregel; CPC Common Understanding</t>
  </si>
  <si>
    <t xml:space="preserve">§ 15b UWG (beschlossen, noch nicht in Kraft)</t>
  </si>
  <si>
    <t xml:space="preserve">Durchsetzungsfrage; Stand nachhalten</t>
  </si>
  <si>
    <t xml:space="preserve">K19, K12</t>
  </si>
  <si>
    <t xml:space="preserve">Zusätzlich wirken auf alle Anforderungen die übergreifenden Kontrollen K23, K13, K4, K1, K14, K22. Quelle: Arbeitsdokument Kap. 2 (Anforderungskatalog).</t>
  </si>
  <si>
    <t xml:space="preserve">Quellen und Validierungsstatus</t>
  </si>
  <si>
    <t xml:space="preserve">Quelle</t>
  </si>
  <si>
    <t xml:space="preserve">Fundstelle</t>
  </si>
  <si>
    <t xml:space="preserve">Status</t>
  </si>
  <si>
    <t xml:space="preserve">R1</t>
  </si>
  <si>
    <t xml:space="preserve">Richtlinie (EU) 2024/825 („EmpCo“)</t>
  </si>
  <si>
    <t xml:space="preserve">https://eur-lex.europa.eu/eli/dir/2024/825/oj?locale=de</t>
  </si>
  <si>
    <t xml:space="preserve">Primärtext gesperrt; über Research-Basis und Sekundärquellen validiert</t>
  </si>
  <si>
    <t xml:space="preserve">R2</t>
  </si>
  <si>
    <t xml:space="preserve">Richtlinie 2005/29/EG (UGP-RL), konsolidiert</t>
  </si>
  <si>
    <t xml:space="preserve">https://eur-lex.europa.eu/legal-content/DE/TXT/?uri=celex:32005L0029</t>
  </si>
  <si>
    <t xml:space="preserve">wie R1</t>
  </si>
  <si>
    <t xml:space="preserve">R3</t>
  </si>
  <si>
    <t xml:space="preserve">Richtlinie 2011/83/EU (VRRL), konsolidiert</t>
  </si>
  <si>
    <t xml:space="preserve">https://eur-lex.europa.eu/legal-content/DE/TXT/?uri=celex:32011L0083</t>
  </si>
  <si>
    <t xml:space="preserve">R4</t>
  </si>
  <si>
    <t xml:space="preserve">UWG n. F., BGBl. 2026 I Nr. 43</t>
  </si>
  <si>
    <t xml:space="preserve">https://www.recht.bund.de/bgbl/1/2026/43/regelungstext.pdf?__blob=publicationFile&amp;v=1</t>
  </si>
  <si>
    <t xml:space="preserve">Paragrafen nach Sekundärquellen; vor Verwendung prüfen</t>
  </si>
  <si>
    <t xml:space="preserve">R5</t>
  </si>
  <si>
    <t xml:space="preserve">Art. 246, 246a EGBGB (BGBl. 2026 I Nr. 28)</t>
  </si>
  <si>
    <t xml:space="preserve">https://shopbetreiber-blog.de/ab-27-9-2026-die-umsetzung-der-empco-rl-im-bgb-und-egbgb</t>
  </si>
  <si>
    <t xml:space="preserve">Sekundärquelle; Anknüpfung an Herstellerdaten und Lieferoptionen am 29.09.2026 per Websuche bestätigt</t>
  </si>
  <si>
    <t xml:space="preserve">R6</t>
  </si>
  <si>
    <t xml:space="preserve">Durchführungsverordnung (EU) 2025/1960 (harmonisierter Hinweis und Label)</t>
  </si>
  <si>
    <t xml:space="preserve">https://eur-lex.europa.eu/eli/reg_impl/2025/1960/oj/eng</t>
  </si>
  <si>
    <t xml:space="preserve">über Research-Basis validiert</t>
  </si>
  <si>
    <t xml:space="preserve">R8</t>
  </si>
  <si>
    <t xml:space="preserve">§ 15b UWG, BT-Drs. 21/6215 und 21/8158</t>
  </si>
  <si>
    <t xml:space="preserve">https://dserver.bundestag.de/btd/21/062/2106215.pdf</t>
  </si>
  <si>
    <t xml:space="preserve">beschlossen 24.09.2026, noch nicht in Kraft</t>
  </si>
  <si>
    <t xml:space="preserve">B1</t>
  </si>
  <si>
    <t xml:space="preserve">Europäische Kommission: Q&amp;A zur Richtlinie (EU) 2024/825</t>
  </si>
  <si>
    <t xml:space="preserve">https://commission.europa.eu/document/download/3c257883-bb2a-4dd9-a6dc-501d587bb34f_en?filename=faq-empowerting-consumers-gtd.pdf</t>
  </si>
  <si>
    <t xml:space="preserve">nicht bindend</t>
  </si>
  <si>
    <t xml:space="preserve">B3</t>
  </si>
  <si>
    <t xml:space="preserve">CPC-Netzwerk: Common Understanding zu Altbeständen (06/2026)</t>
  </si>
  <si>
    <t xml:space="preserve">https://commission.europa.eu/document/download/264d8c70-2f9a-4955-8e7b-154d55a9b684_en?filename=Final+CPC+common+understanding+on+old+stock+situations+June+2026.pdf</t>
  </si>
  <si>
    <t xml:space="preserve">nicht bindend; richtet sich an Behörden</t>
  </si>
  <si>
    <t xml:space="preserve">B4</t>
  </si>
  <si>
    <t xml:space="preserve">IDW: Mustervermerke zur Prüfung von Umsetzungsplänen (22.09.2026)</t>
  </si>
  <si>
    <t xml:space="preserve">https://www.idw.de/news/idw-veroeffentlicht-mustervermerke-zur-pruefung-von-umsetzungsplaenen-fuer-kuenftige-umweltleistungen.html</t>
  </si>
  <si>
    <t xml:space="preserve">Veröffentlichung des Standardsetzers</t>
  </si>
  <si>
    <t xml:space="preserve">S3</t>
  </si>
  <si>
    <t xml:space="preserve">IDW PS 982: Prüfung des IKS des internen und externen Berichtswesens</t>
  </si>
  <si>
    <t xml:space="preserve">https://www.bdo.de/de-de/services/audit-assurance/forensic-risk-compliance/internes-kontrollsystem-und-risikomanagement/prufung-von-internen-kontrollsystemen-nach-idw-ps-982</t>
  </si>
  <si>
    <t xml:space="preserve">kostenpflichtig; Struktur nach BDO</t>
  </si>
  <si>
    <t xml:space="preserve">S7</t>
  </si>
  <si>
    <t xml:space="preserve">COSO: Internal Control – Integrated Framework (2013)</t>
  </si>
  <si>
    <t xml:space="preserve">https://www.theiia.org/en/products/bookstore/coso---internal-control--integrated-framework-2013-framework/</t>
  </si>
  <si>
    <t xml:space="preserve">kostenpflichtig; COSO-Komponenten in Spalte F</t>
  </si>
  <si>
    <t xml:space="preserve">I1</t>
  </si>
  <si>
    <t xml:space="preserve">Research-Basis „EmpCo und UWG-Novelle aus Governance- und Compliance-Sicht“ (28.09.2026); zitiert als „RB“</t>
  </si>
  <si>
    <t xml:space="preserve">research/empco-uwg/EmpCo-UWG_Governance-Research_2026-09-28.md</t>
  </si>
  <si>
    <t xml:space="preserve">intern</t>
  </si>
  <si>
    <t xml:space="preserve">I2</t>
  </si>
  <si>
    <t xml:space="preserve">Arbeitsdokument „EmpCo in bestehenden GRC-Strukturen“ (29.09.2026); zitiert als „Word“</t>
  </si>
  <si>
    <t xml:space="preserve">research/empco-uwg/EmpCo_GRC-Integration_CMS-RMS-IKS_2026-09-29.docx</t>
  </si>
  <si>
    <t xml:space="preserve">IDs wie im Arbeitsdokument (Anhang A). Normzitate vor externer Verwendung am Originaltext prüfen.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</si>
</sst>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\.mm\.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3233A"/>
      <name val="Arial"/>
      <family val="0"/>
      <charset val="1"/>
    </font>
    <font>
      <sz val="9"/>
      <color rgb="FF5E6B78"/>
      <name val="Arial"/>
      <family val="0"/>
      <charset val="1"/>
    </font>
    <font>
      <b val="true"/>
      <sz val="11"/>
      <color rgb="FF1F6F6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8"/>
      <color rgb="FF5E6B78"/>
      <name val="Arial"/>
      <family val="0"/>
      <charset val="1"/>
    </font>
    <font>
      <b val="true"/>
      <sz val="13"/>
      <color rgb="FF13233A"/>
      <name val="Arial"/>
      <family val="0"/>
      <charset val="1"/>
    </font>
    <font>
      <u val="single"/>
      <sz val="9"/>
      <color rgb="FF1F4E9A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A6D00"/>
        <bgColor rgb="FFB04A16"/>
      </patternFill>
    </fill>
    <fill>
      <patternFill patternType="solid">
        <fgColor rgb="FFFFF2CC"/>
        <bgColor rgb="FFFCE4D6"/>
      </patternFill>
    </fill>
    <fill>
      <patternFill patternType="solid">
        <fgColor rgb="FF13233A"/>
        <bgColor rgb="FF003366"/>
      </patternFill>
    </fill>
    <fill>
      <patternFill patternType="solid">
        <fgColor rgb="FF1F6F63"/>
        <bgColor rgb="FF008080"/>
      </patternFill>
    </fill>
    <fill>
      <patternFill patternType="solid">
        <fgColor rgb="FF5B4B8A"/>
        <bgColor rgb="FF5E6B78"/>
      </patternFill>
    </fill>
    <fill>
      <patternFill patternType="solid">
        <fgColor rgb="FFF3F5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6"/>
      </left>
      <right style="thin">
        <color rgb="FFC9CFD6"/>
      </right>
      <top style="thin">
        <color rgb="FFC9CFD6"/>
      </top>
      <bottom style="thin">
        <color rgb="FFC9CF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3233A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1F6F63"/>
      <rgbColor rgb="FFEDEDED"/>
      <rgbColor rgb="FF808080"/>
      <rgbColor rgb="FF9999FF"/>
      <rgbColor rgb="FF5B4B8A"/>
      <rgbColor rgb="FFFFF2CC"/>
      <rgbColor rgb="FFDDEBF7"/>
      <rgbColor rgb="FF660066"/>
      <rgbColor rgb="FFFF8080"/>
      <rgbColor rgb="FF0066CC"/>
      <rgbColor rgb="FFC9CF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E6B78"/>
      <rgbColor rgb="FF969696"/>
      <rgbColor rgb="FF003366"/>
      <rgbColor rgb="FF339966"/>
      <rgbColor rgb="FF003300"/>
      <rgbColor rgb="FF333300"/>
      <rgbColor rgb="FFB04A16"/>
      <rgbColor rgb="FF993366"/>
      <rgbColor rgb="FF1F4E9A"/>
      <rgbColor rgb="FF132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eur-lex.europa.eu/eli/dir/2024/825/oj?locale=de" TargetMode="External"/><Relationship Id="rId2" Type="http://schemas.openxmlformats.org/officeDocument/2006/relationships/hyperlink" Target="https://eur-lex.europa.eu/legal-content/DE/TXT/?uri=celex:32005L0029" TargetMode="External"/><Relationship Id="rId3" Type="http://schemas.openxmlformats.org/officeDocument/2006/relationships/hyperlink" Target="https://eur-lex.europa.eu/legal-content/DE/TXT/?uri=celex:32011L0083" TargetMode="External"/><Relationship Id="rId4" Type="http://schemas.openxmlformats.org/officeDocument/2006/relationships/hyperlink" Target="https://www.recht.bund.de/bgbl/1/2026/43/regelungstext.pdf?__blob=publicationFile&amp;v=1" TargetMode="External"/><Relationship Id="rId5" Type="http://schemas.openxmlformats.org/officeDocument/2006/relationships/hyperlink" Target="https://shopbetreiber-blog.de/ab-27-9-2026-die-umsetzung-der-empco-rl-im-bgb-und-egbgb" TargetMode="External"/><Relationship Id="rId6" Type="http://schemas.openxmlformats.org/officeDocument/2006/relationships/hyperlink" Target="https://eur-lex.europa.eu/eli/reg_impl/2025/1960/oj/eng" TargetMode="External"/><Relationship Id="rId7" Type="http://schemas.openxmlformats.org/officeDocument/2006/relationships/hyperlink" Target="https://dserver.bundestag.de/btd/21/062/2106215.pdf" TargetMode="External"/><Relationship Id="rId8" Type="http://schemas.openxmlformats.org/officeDocument/2006/relationships/hyperlink" Target="https://commission.europa.eu/document/download/3c257883-bb2a-4dd9-a6dc-501d587bb34f_en?filename=faq-empowerting-consumers-gtd.pdf" TargetMode="External"/><Relationship Id="rId9" Type="http://schemas.openxmlformats.org/officeDocument/2006/relationships/hyperlink" Target="https://commission.europa.eu/document/download/264d8c70-2f9a-4955-8e7b-154d55a9b684_en?filename=Final+CPC+common+understanding+on+old+stock+situations+June+2026.pdf" TargetMode="External"/><Relationship Id="rId10" Type="http://schemas.openxmlformats.org/officeDocument/2006/relationships/hyperlink" Target="https://www.idw.de/news/idw-veroeffentlicht-mustervermerke-zur-pruefung-von-umsetzungsplaenen-fuer-kuenftige-umweltleistungen.html" TargetMode="External"/><Relationship Id="rId11" Type="http://schemas.openxmlformats.org/officeDocument/2006/relationships/hyperlink" Target="https://www.bdo.de/de-de/services/audit-assurance/forensic-risk-compliance/internes-kontrollsystem-und-risikomanagement/prufung-von-internen-kontrollsystemen-nach-idw-ps-982" TargetMode="External"/><Relationship Id="rId12" Type="http://schemas.openxmlformats.org/officeDocument/2006/relationships/hyperlink" Target="https://www.theiia.org/en/products/bookstore/coso---internal-control--integrated-framework-2013-framework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3"/>
    <pageSetUpPr fitToPage="true"/>
  </sheetPr>
  <dimension ref="A1:G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8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3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5" t="s">
        <v>5</v>
      </c>
      <c r="B8" s="6" t="s">
        <v>6</v>
      </c>
    </row>
    <row r="9" customFormat="false" ht="15" hidden="false" customHeight="false" outlineLevel="0" collapsed="false">
      <c r="A9" s="5" t="s">
        <v>7</v>
      </c>
      <c r="B9" s="6" t="s">
        <v>8</v>
      </c>
    </row>
    <row r="10" customFormat="false" ht="15" hidden="false" customHeight="false" outlineLevel="0" collapsed="false">
      <c r="A10" s="5" t="s">
        <v>9</v>
      </c>
      <c r="B10" s="6" t="s">
        <v>10</v>
      </c>
    </row>
    <row r="11" customFormat="false" ht="15" hidden="false" customHeight="false" outlineLevel="0" collapsed="false">
      <c r="A11" s="5" t="s">
        <v>11</v>
      </c>
      <c r="B11" s="6" t="s">
        <v>12</v>
      </c>
    </row>
    <row r="13" customFormat="false" ht="15" hidden="false" customHeight="false" outlineLevel="0" collapsed="false">
      <c r="A13" s="3" t="s">
        <v>13</v>
      </c>
    </row>
    <row r="14" customFormat="false" ht="25.5" hidden="false" customHeight="true" outlineLevel="0" collapsed="false">
      <c r="A14" s="4" t="s">
        <v>14</v>
      </c>
      <c r="B14" s="4"/>
      <c r="C14" s="4"/>
      <c r="D14" s="4"/>
      <c r="E14" s="4"/>
      <c r="F14" s="4"/>
      <c r="G14" s="4"/>
    </row>
    <row r="15" customFormat="false" ht="25.5" hidden="false" customHeight="true" outlineLevel="0" collapsed="false">
      <c r="A15" s="4" t="s">
        <v>15</v>
      </c>
      <c r="B15" s="4"/>
      <c r="C15" s="4"/>
      <c r="D15" s="4"/>
      <c r="E15" s="4"/>
      <c r="F15" s="4"/>
      <c r="G15" s="4"/>
    </row>
    <row r="16" customFormat="false" ht="25.5" hidden="false" customHeight="true" outlineLevel="0" collapsed="false">
      <c r="A16" s="4" t="s">
        <v>16</v>
      </c>
      <c r="B16" s="4"/>
      <c r="C16" s="4"/>
      <c r="D16" s="4"/>
      <c r="E16" s="4"/>
      <c r="F16" s="4"/>
      <c r="G16" s="4"/>
    </row>
    <row r="17" customFormat="false" ht="25.5" hidden="false" customHeight="true" outlineLevel="0" collapsed="false">
      <c r="A17" s="4" t="s">
        <v>17</v>
      </c>
      <c r="B17" s="4"/>
      <c r="C17" s="4"/>
      <c r="D17" s="4"/>
      <c r="E17" s="4"/>
      <c r="F17" s="4"/>
      <c r="G17" s="4"/>
    </row>
    <row r="18" customFormat="false" ht="25.5" hidden="false" customHeight="true" outlineLevel="0" collapsed="false">
      <c r="A18" s="4" t="s">
        <v>18</v>
      </c>
      <c r="B18" s="4"/>
      <c r="C18" s="4"/>
      <c r="D18" s="4"/>
      <c r="E18" s="4"/>
      <c r="F18" s="4"/>
      <c r="G18" s="4"/>
    </row>
    <row r="20" customFormat="false" ht="15" hidden="false" customHeight="false" outlineLevel="0" collapsed="false">
      <c r="A20" s="5" t="s">
        <v>19</v>
      </c>
    </row>
    <row r="21" customFormat="false" ht="27.75" hidden="false" customHeight="true" outlineLevel="0" collapsed="false">
      <c r="A21" s="7" t="s">
        <v>20</v>
      </c>
      <c r="B21" s="7" t="s">
        <v>21</v>
      </c>
      <c r="C21" s="7" t="s">
        <v>22</v>
      </c>
      <c r="D21" s="7" t="s">
        <v>23</v>
      </c>
      <c r="E21" s="7" t="s">
        <v>24</v>
      </c>
      <c r="F21" s="7" t="s">
        <v>25</v>
      </c>
      <c r="G21" s="7" t="s">
        <v>26</v>
      </c>
    </row>
    <row r="22" customFormat="false" ht="15" hidden="false" customHeight="false" outlineLevel="0" collapsed="false">
      <c r="A22" s="8" t="s">
        <v>27</v>
      </c>
      <c r="B22" s="8" t="s">
        <v>28</v>
      </c>
      <c r="C22" s="8" t="s">
        <v>29</v>
      </c>
      <c r="D22" s="8" t="s">
        <v>30</v>
      </c>
      <c r="E22" s="8" t="s">
        <v>31</v>
      </c>
      <c r="F22" s="8" t="s">
        <v>32</v>
      </c>
      <c r="G22" s="8" t="s">
        <v>33</v>
      </c>
    </row>
    <row r="23" customFormat="false" ht="15" hidden="false" customHeight="false" outlineLevel="0" collapsed="false">
      <c r="A23" s="9" t="s">
        <v>34</v>
      </c>
    </row>
    <row r="25" customFormat="false" ht="15" hidden="false" customHeight="false" outlineLevel="0" collapsed="false">
      <c r="A25" s="3" t="s">
        <v>35</v>
      </c>
    </row>
    <row r="26" customFormat="false" ht="15" hidden="false" customHeight="false" outlineLevel="0" collapsed="false">
      <c r="A26" s="10" t="s">
        <v>36</v>
      </c>
      <c r="B26" s="10" t="s">
        <v>37</v>
      </c>
    </row>
    <row r="27" customFormat="false" ht="15" hidden="false" customHeight="false" outlineLevel="0" collapsed="false">
      <c r="A27" s="11" t="s">
        <v>38</v>
      </c>
      <c r="B27" s="12" t="n">
        <f aca="false">COUNTA(Kontrollmatrix!$A$4:$A$26)</f>
        <v>23</v>
      </c>
    </row>
    <row r="28" customFormat="false" ht="15" hidden="false" customHeight="false" outlineLevel="0" collapsed="false">
      <c r="A28" s="13" t="s">
        <v>39</v>
      </c>
      <c r="B28" s="14" t="n">
        <f aca="false">COUNTIF(Kontrollmatrix!$Q$4:$Q$26,"ja")</f>
        <v>14</v>
      </c>
    </row>
    <row r="29" customFormat="false" ht="15" hidden="false" customHeight="false" outlineLevel="0" collapsed="false">
      <c r="A29" s="13" t="s">
        <v>40</v>
      </c>
      <c r="B29" s="14" t="n">
        <f aca="false">COUNTIF(Kontrollmatrix!$S$4:$S$26,"ja*")</f>
        <v>16</v>
      </c>
    </row>
    <row r="30" customFormat="false" ht="15" hidden="false" customHeight="false" outlineLevel="0" collapsed="false">
      <c r="A30" s="13" t="s">
        <v>41</v>
      </c>
      <c r="B30" s="14" t="n">
        <f aca="false">COUNTIF(Kontrollmatrix!$S$4:$S$26,"bei*")</f>
        <v>5</v>
      </c>
    </row>
    <row r="31" customFormat="false" ht="15" hidden="false" customHeight="false" outlineLevel="0" collapsed="false">
      <c r="A31" s="13" t="s">
        <v>42</v>
      </c>
      <c r="B31" s="14" t="n">
        <f aca="false">COUNTIF(Kontrollmatrix!$H$4:$H$26,"*präventiv*")</f>
        <v>17</v>
      </c>
    </row>
    <row r="32" customFormat="false" ht="15" hidden="false" customHeight="false" outlineLevel="0" collapsed="false">
      <c r="A32" s="13" t="s">
        <v>43</v>
      </c>
      <c r="B32" s="14" t="n">
        <f aca="false">COUNTIF(Kontrollmatrix!$H$4:$H$26,"*detektiv*")</f>
        <v>10</v>
      </c>
    </row>
    <row r="33" customFormat="false" ht="15" hidden="false" customHeight="false" outlineLevel="0" collapsed="false">
      <c r="A33" s="13" t="s">
        <v>44</v>
      </c>
      <c r="B33" s="14" t="n">
        <f aca="false">COUNTIF(Kontrollmatrix!$H$4:$H$26,"*korrektiv*")</f>
        <v>2</v>
      </c>
    </row>
    <row r="34" customFormat="false" ht="15" hidden="false" customHeight="false" outlineLevel="0" collapsed="false">
      <c r="A34" s="13" t="s">
        <v>45</v>
      </c>
      <c r="B34" s="14" t="n">
        <f aca="false">COUNTIF(Kontrollmatrix!$P$4:$P$26,"*Pflicht*")</f>
        <v>8</v>
      </c>
    </row>
    <row r="35" customFormat="false" ht="15" hidden="false" customHeight="false" outlineLevel="0" collapsed="false">
      <c r="A35" s="13" t="s">
        <v>46</v>
      </c>
      <c r="B35" s="14" t="n">
        <f aca="false">COUNTIF(Kontrollmatrix!$P$4:$P$26,"*Best Practice*")</f>
        <v>4</v>
      </c>
    </row>
    <row r="37" customFormat="false" ht="15" hidden="false" customHeight="false" outlineLevel="0" collapsed="false">
      <c r="A37" s="10" t="s">
        <v>21</v>
      </c>
      <c r="B37" s="10" t="s">
        <v>37</v>
      </c>
    </row>
    <row r="38" customFormat="false" ht="15" hidden="false" customHeight="false" outlineLevel="0" collapsed="false">
      <c r="A38" s="13" t="s">
        <v>47</v>
      </c>
      <c r="B38" s="14" t="n">
        <f aca="false">COUNTIF(Kontrollmatrix!$U$4:$U$26,"offen")</f>
        <v>0</v>
      </c>
    </row>
    <row r="39" customFormat="false" ht="15" hidden="false" customHeight="false" outlineLevel="0" collapsed="false">
      <c r="A39" s="13" t="s">
        <v>48</v>
      </c>
      <c r="B39" s="14" t="n">
        <f aca="false">COUNTIF(Kontrollmatrix!$U$4:$U$26,"in Umsetzung")</f>
        <v>0</v>
      </c>
    </row>
    <row r="40" customFormat="false" ht="15" hidden="false" customHeight="false" outlineLevel="0" collapsed="false">
      <c r="A40" s="13" t="s">
        <v>28</v>
      </c>
      <c r="B40" s="14" t="n">
        <f aca="false">COUNTIF(Kontrollmatrix!$U$4:$U$26,"umgesetzt")</f>
        <v>0</v>
      </c>
    </row>
    <row r="41" customFormat="false" ht="15" hidden="false" customHeight="false" outlineLevel="0" collapsed="false">
      <c r="A41" s="13" t="s">
        <v>49</v>
      </c>
      <c r="B41" s="14" t="n">
        <f aca="false">COUNTIF(Kontrollmatrix!$U$4:$U$26,"nicht relevant")</f>
        <v>0</v>
      </c>
    </row>
    <row r="42" customFormat="false" ht="15" hidden="false" customHeight="false" outlineLevel="0" collapsed="false">
      <c r="A42" s="13" t="s">
        <v>50</v>
      </c>
      <c r="B42" s="14" t="n">
        <f aca="false">$B$27-COUNTA(Kontrollmatrix!$U$4:$U$26)</f>
        <v>23</v>
      </c>
    </row>
    <row r="43" customFormat="false" ht="15" hidden="false" customHeight="false" outlineLevel="0" collapsed="false">
      <c r="A43" s="11" t="s">
        <v>51</v>
      </c>
      <c r="B43" s="15" t="n">
        <f aca="false">IFERROR($B$40/($B$27-$B$41),0)</f>
        <v>0</v>
      </c>
    </row>
    <row r="45" customFormat="false" ht="15" hidden="false" customHeight="false" outlineLevel="0" collapsed="false">
      <c r="A45" s="10" t="s">
        <v>52</v>
      </c>
      <c r="B45" s="10" t="s">
        <v>37</v>
      </c>
    </row>
    <row r="46" customFormat="false" ht="15" hidden="false" customHeight="false" outlineLevel="0" collapsed="false">
      <c r="A46" s="13" t="s">
        <v>53</v>
      </c>
      <c r="B46" s="14" t="n">
        <f aca="false">COUNTIF(Kontrollmatrix!$X$4:$X$26,"angemessen")</f>
        <v>0</v>
      </c>
    </row>
    <row r="47" customFormat="false" ht="15" hidden="false" customHeight="false" outlineLevel="0" collapsed="false">
      <c r="A47" s="13" t="s">
        <v>54</v>
      </c>
      <c r="B47" s="14" t="n">
        <f aca="false">COUNTIF(Kontrollmatrix!$X$4:$X$26,"nicht angemessen")</f>
        <v>0</v>
      </c>
    </row>
    <row r="48" customFormat="false" ht="15" hidden="false" customHeight="false" outlineLevel="0" collapsed="false">
      <c r="A48" s="13" t="s">
        <v>55</v>
      </c>
      <c r="B48" s="14" t="n">
        <f aca="false">COUNTIF(Kontrollmatrix!$X$4:$X$26,"offen")</f>
        <v>0</v>
      </c>
    </row>
    <row r="49" customFormat="false" ht="15" hidden="false" customHeight="false" outlineLevel="0" collapsed="false">
      <c r="A49" s="13" t="s">
        <v>56</v>
      </c>
      <c r="B49" s="14" t="n">
        <f aca="false">COUNTIF(Kontrollmatrix!$Z$4:$Z$26,"wirksam")</f>
        <v>0</v>
      </c>
    </row>
    <row r="50" customFormat="false" ht="15" hidden="false" customHeight="false" outlineLevel="0" collapsed="false">
      <c r="A50" s="13" t="s">
        <v>57</v>
      </c>
      <c r="B50" s="14" t="n">
        <f aca="false">COUNTIF(Kontrollmatrix!$Z$4:$Z$26,"nicht wirksam")</f>
        <v>0</v>
      </c>
    </row>
    <row r="51" customFormat="false" ht="15" hidden="false" customHeight="false" outlineLevel="0" collapsed="false">
      <c r="A51" s="13" t="s">
        <v>58</v>
      </c>
      <c r="B51" s="14" t="n">
        <f aca="false">COUNTIF(Kontrollmatrix!$Z$4:$Z$26,"nicht getestet")</f>
        <v>0</v>
      </c>
    </row>
    <row r="53" customFormat="false" ht="15" hidden="false" customHeight="false" outlineLevel="0" collapsed="false">
      <c r="A53" s="10" t="s">
        <v>59</v>
      </c>
      <c r="B53" s="10" t="s">
        <v>37</v>
      </c>
    </row>
    <row r="54" customFormat="false" ht="15" hidden="false" customHeight="false" outlineLevel="0" collapsed="false">
      <c r="A54" s="13" t="s">
        <v>60</v>
      </c>
      <c r="B54" s="14" t="n">
        <f aca="false">COUNTIF(Kontrollmatrix!$B$4:$B$26,A54)</f>
        <v>1</v>
      </c>
    </row>
    <row r="55" customFormat="false" ht="15" hidden="false" customHeight="false" outlineLevel="0" collapsed="false">
      <c r="A55" s="13" t="s">
        <v>61</v>
      </c>
      <c r="B55" s="14" t="n">
        <f aca="false">COUNTIF(Kontrollmatrix!$B$4:$B$26,A55)</f>
        <v>1</v>
      </c>
    </row>
    <row r="56" customFormat="false" ht="15" hidden="false" customHeight="false" outlineLevel="0" collapsed="false">
      <c r="A56" s="13" t="s">
        <v>62</v>
      </c>
      <c r="B56" s="14" t="n">
        <f aca="false">COUNTIF(Kontrollmatrix!$B$4:$B$26,A56)</f>
        <v>2</v>
      </c>
    </row>
    <row r="57" customFormat="false" ht="15" hidden="false" customHeight="false" outlineLevel="0" collapsed="false">
      <c r="A57" s="13" t="s">
        <v>63</v>
      </c>
      <c r="B57" s="14" t="n">
        <f aca="false">COUNTIF(Kontrollmatrix!$B$4:$B$26,A57)</f>
        <v>3</v>
      </c>
    </row>
    <row r="58" customFormat="false" ht="15" hidden="false" customHeight="false" outlineLevel="0" collapsed="false">
      <c r="A58" s="13" t="s">
        <v>64</v>
      </c>
      <c r="B58" s="14" t="n">
        <f aca="false">COUNTIF(Kontrollmatrix!$B$4:$B$26,A58)</f>
        <v>1</v>
      </c>
    </row>
    <row r="59" customFormat="false" ht="15" hidden="false" customHeight="false" outlineLevel="0" collapsed="false">
      <c r="A59" s="13" t="s">
        <v>65</v>
      </c>
      <c r="B59" s="14" t="n">
        <f aca="false">COUNTIF(Kontrollmatrix!$B$4:$B$26,A59)</f>
        <v>2</v>
      </c>
    </row>
    <row r="60" customFormat="false" ht="15" hidden="false" customHeight="false" outlineLevel="0" collapsed="false">
      <c r="A60" s="13" t="s">
        <v>66</v>
      </c>
      <c r="B60" s="14" t="n">
        <f aca="false">COUNTIF(Kontrollmatrix!$B$4:$B$26,A60)</f>
        <v>1</v>
      </c>
    </row>
    <row r="61" customFormat="false" ht="15" hidden="false" customHeight="false" outlineLevel="0" collapsed="false">
      <c r="A61" s="13" t="s">
        <v>67</v>
      </c>
      <c r="B61" s="14" t="n">
        <f aca="false">COUNTIF(Kontrollmatrix!$B$4:$B$26,A61)</f>
        <v>3</v>
      </c>
    </row>
    <row r="62" customFormat="false" ht="15" hidden="false" customHeight="false" outlineLevel="0" collapsed="false">
      <c r="A62" s="13" t="s">
        <v>68</v>
      </c>
      <c r="B62" s="14" t="n">
        <f aca="false">COUNTIF(Kontrollmatrix!$B$4:$B$26,A62)</f>
        <v>3</v>
      </c>
    </row>
    <row r="63" customFormat="false" ht="15" hidden="false" customHeight="false" outlineLevel="0" collapsed="false">
      <c r="A63" s="13" t="s">
        <v>69</v>
      </c>
      <c r="B63" s="14" t="n">
        <f aca="false">COUNTIF(Kontrollmatrix!$B$4:$B$26,A63)</f>
        <v>4</v>
      </c>
    </row>
    <row r="64" customFormat="false" ht="15" hidden="false" customHeight="false" outlineLevel="0" collapsed="false">
      <c r="A64" s="13" t="s">
        <v>70</v>
      </c>
      <c r="B64" s="14" t="n">
        <f aca="false">COUNTIF(Kontrollmatrix!$B$4:$B$26,A64)</f>
        <v>1</v>
      </c>
    </row>
    <row r="65" customFormat="false" ht="15" hidden="false" customHeight="false" outlineLevel="0" collapsed="false">
      <c r="A65" s="13" t="s">
        <v>71</v>
      </c>
      <c r="B65" s="14" t="n">
        <f aca="false">COUNTIF(Kontrollmatrix!$B$4:$B$26,A65)</f>
        <v>1</v>
      </c>
    </row>
    <row r="66" customFormat="false" ht="15" hidden="false" customHeight="false" outlineLevel="0" collapsed="false">
      <c r="A66" s="11" t="s">
        <v>72</v>
      </c>
      <c r="B66" s="12" t="n">
        <f aca="false">SUM(B54:B65)</f>
        <v>23</v>
      </c>
    </row>
    <row r="68" customFormat="false" ht="24" hidden="false" customHeight="true" outlineLevel="0" collapsed="false">
      <c r="A68" s="16" t="s">
        <v>73</v>
      </c>
      <c r="B68" s="16"/>
      <c r="C68" s="16"/>
      <c r="D68" s="16"/>
      <c r="E68" s="16"/>
      <c r="F68" s="16"/>
      <c r="G68" s="16"/>
    </row>
  </sheetData>
  <mergeCells count="7">
    <mergeCell ref="A5:G5"/>
    <mergeCell ref="A14:G14"/>
    <mergeCell ref="A15:G15"/>
    <mergeCell ref="A16:G16"/>
    <mergeCell ref="A17:G17"/>
    <mergeCell ref="A18:G18"/>
    <mergeCell ref="A68:G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A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2" min="11" style="0" width="22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30"/>
    <col collapsed="false" customWidth="true" hidden="false" outlineLevel="0" max="16" min="16" style="0" width="18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8"/>
    <col collapsed="false" customWidth="true" hidden="false" outlineLevel="0" max="21" min="21" style="0" width="13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4" min="24" style="0" width="14"/>
    <col collapsed="false" customWidth="true" hidden="false" outlineLevel="0" max="25" min="25" style="0" width="12"/>
    <col collapsed="false" customWidth="true" hidden="false" outlineLevel="0" max="26" min="26" style="0" width="14"/>
    <col collapsed="false" customWidth="true" hidden="false" outlineLevel="0" max="27" min="27" style="0" width="34"/>
  </cols>
  <sheetData>
    <row r="1" customFormat="false" ht="24" hidden="false" customHeight="true" outlineLevel="0" collapsed="false">
      <c r="A1" s="17" t="s">
        <v>74</v>
      </c>
    </row>
    <row r="2" customFormat="false" ht="18" hidden="false" customHeight="true" outlineLevel="0" collapsed="false">
      <c r="A2" s="18" t="s">
        <v>75</v>
      </c>
      <c r="B2" s="18"/>
      <c r="C2" s="18"/>
      <c r="D2" s="18"/>
      <c r="E2" s="18"/>
      <c r="F2" s="18"/>
      <c r="G2" s="19" t="s">
        <v>76</v>
      </c>
      <c r="H2" s="19"/>
      <c r="I2" s="19"/>
      <c r="J2" s="19"/>
      <c r="K2" s="19"/>
      <c r="L2" s="19"/>
      <c r="M2" s="19"/>
      <c r="N2" s="20" t="s">
        <v>77</v>
      </c>
      <c r="O2" s="20"/>
      <c r="P2" s="20"/>
      <c r="Q2" s="20"/>
      <c r="R2" s="20"/>
      <c r="S2" s="20"/>
      <c r="T2" s="20"/>
      <c r="U2" s="21" t="s">
        <v>78</v>
      </c>
      <c r="V2" s="21"/>
      <c r="W2" s="21"/>
      <c r="X2" s="21"/>
      <c r="Y2" s="21"/>
      <c r="Z2" s="21"/>
      <c r="AA2" s="21"/>
    </row>
    <row r="3" customFormat="false" ht="39.75" hidden="false" customHeight="true" outlineLevel="0" collapsed="false">
      <c r="A3" s="22" t="s">
        <v>20</v>
      </c>
      <c r="B3" s="22" t="s">
        <v>79</v>
      </c>
      <c r="C3" s="22" t="s">
        <v>80</v>
      </c>
      <c r="D3" s="22" t="s">
        <v>81</v>
      </c>
      <c r="E3" s="22" t="s">
        <v>82</v>
      </c>
      <c r="F3" s="22" t="s">
        <v>83</v>
      </c>
      <c r="G3" s="22" t="s">
        <v>84</v>
      </c>
      <c r="H3" s="22" t="s">
        <v>85</v>
      </c>
      <c r="I3" s="22" t="s">
        <v>86</v>
      </c>
      <c r="J3" s="22" t="s">
        <v>87</v>
      </c>
      <c r="K3" s="22" t="s">
        <v>88</v>
      </c>
      <c r="L3" s="22" t="s">
        <v>89</v>
      </c>
      <c r="M3" s="22" t="s">
        <v>90</v>
      </c>
      <c r="N3" s="22" t="s">
        <v>91</v>
      </c>
      <c r="O3" s="22" t="s">
        <v>92</v>
      </c>
      <c r="P3" s="22" t="s">
        <v>93</v>
      </c>
      <c r="Q3" s="22" t="s">
        <v>94</v>
      </c>
      <c r="R3" s="22" t="s">
        <v>95</v>
      </c>
      <c r="S3" s="22" t="s">
        <v>96</v>
      </c>
      <c r="T3" s="22" t="s">
        <v>97</v>
      </c>
      <c r="U3" s="7" t="s">
        <v>98</v>
      </c>
      <c r="V3" s="7" t="s">
        <v>99</v>
      </c>
      <c r="W3" s="7" t="s">
        <v>100</v>
      </c>
      <c r="X3" s="7" t="s">
        <v>101</v>
      </c>
      <c r="Y3" s="7" t="s">
        <v>102</v>
      </c>
      <c r="Z3" s="7" t="s">
        <v>103</v>
      </c>
      <c r="AA3" s="7" t="s">
        <v>104</v>
      </c>
    </row>
    <row r="4" customFormat="false" ht="53.7" hidden="false" customHeight="false" outlineLevel="0" collapsed="false">
      <c r="A4" s="23" t="s">
        <v>105</v>
      </c>
      <c r="B4" s="24" t="s">
        <v>60</v>
      </c>
      <c r="C4" s="24" t="s">
        <v>106</v>
      </c>
      <c r="D4" s="24" t="s">
        <v>107</v>
      </c>
      <c r="E4" s="24" t="s">
        <v>108</v>
      </c>
      <c r="F4" s="24" t="s">
        <v>109</v>
      </c>
      <c r="G4" s="24" t="s">
        <v>110</v>
      </c>
      <c r="H4" s="24" t="s">
        <v>111</v>
      </c>
      <c r="I4" s="24" t="s">
        <v>112</v>
      </c>
      <c r="J4" s="24" t="s">
        <v>113</v>
      </c>
      <c r="K4" s="24" t="s">
        <v>114</v>
      </c>
      <c r="L4" s="24" t="s">
        <v>115</v>
      </c>
      <c r="M4" s="24" t="s">
        <v>116</v>
      </c>
      <c r="N4" s="24" t="s">
        <v>117</v>
      </c>
      <c r="O4" s="24" t="s">
        <v>118</v>
      </c>
      <c r="P4" s="24" t="s">
        <v>119</v>
      </c>
      <c r="Q4" s="24" t="s">
        <v>120</v>
      </c>
      <c r="R4" s="24" t="s">
        <v>121</v>
      </c>
      <c r="S4" s="24" t="s">
        <v>120</v>
      </c>
      <c r="T4" s="24" t="s">
        <v>122</v>
      </c>
      <c r="U4" s="25"/>
      <c r="V4" s="25"/>
      <c r="W4" s="26"/>
      <c r="X4" s="25"/>
      <c r="Y4" s="26"/>
      <c r="Z4" s="25"/>
      <c r="AA4" s="25"/>
    </row>
    <row r="5" customFormat="false" ht="64.15" hidden="false" customHeight="false" outlineLevel="0" collapsed="false">
      <c r="A5" s="27" t="s">
        <v>123</v>
      </c>
      <c r="B5" s="28" t="s">
        <v>61</v>
      </c>
      <c r="C5" s="28" t="s">
        <v>124</v>
      </c>
      <c r="D5" s="28" t="s">
        <v>125</v>
      </c>
      <c r="E5" s="28" t="s">
        <v>126</v>
      </c>
      <c r="F5" s="28" t="s">
        <v>127</v>
      </c>
      <c r="G5" s="28" t="s">
        <v>128</v>
      </c>
      <c r="H5" s="28" t="s">
        <v>129</v>
      </c>
      <c r="I5" s="28" t="s">
        <v>112</v>
      </c>
      <c r="J5" s="28" t="s">
        <v>130</v>
      </c>
      <c r="K5" s="28" t="s">
        <v>131</v>
      </c>
      <c r="L5" s="28" t="s">
        <v>132</v>
      </c>
      <c r="M5" s="28" t="s">
        <v>133</v>
      </c>
      <c r="N5" s="28" t="s">
        <v>134</v>
      </c>
      <c r="O5" s="28" t="s">
        <v>135</v>
      </c>
      <c r="P5" s="28" t="s">
        <v>136</v>
      </c>
      <c r="Q5" s="28" t="s">
        <v>120</v>
      </c>
      <c r="R5" s="28" t="s">
        <v>121</v>
      </c>
      <c r="S5" s="28" t="s">
        <v>120</v>
      </c>
      <c r="T5" s="28" t="s">
        <v>137</v>
      </c>
      <c r="U5" s="25"/>
      <c r="V5" s="25"/>
      <c r="W5" s="26"/>
      <c r="X5" s="25"/>
      <c r="Y5" s="26"/>
      <c r="Z5" s="25"/>
      <c r="AA5" s="25"/>
    </row>
    <row r="6" customFormat="false" ht="85.05" hidden="false" customHeight="false" outlineLevel="0" collapsed="false">
      <c r="A6" s="23" t="s">
        <v>138</v>
      </c>
      <c r="B6" s="24" t="s">
        <v>62</v>
      </c>
      <c r="C6" s="24" t="s">
        <v>139</v>
      </c>
      <c r="D6" s="24" t="s">
        <v>140</v>
      </c>
      <c r="E6" s="24" t="s">
        <v>141</v>
      </c>
      <c r="F6" s="24" t="s">
        <v>142</v>
      </c>
      <c r="G6" s="24" t="s">
        <v>143</v>
      </c>
      <c r="H6" s="24" t="s">
        <v>111</v>
      </c>
      <c r="I6" s="24" t="s">
        <v>144</v>
      </c>
      <c r="J6" s="24" t="s">
        <v>145</v>
      </c>
      <c r="K6" s="24" t="s">
        <v>146</v>
      </c>
      <c r="L6" s="24" t="s">
        <v>147</v>
      </c>
      <c r="M6" s="24" t="s">
        <v>148</v>
      </c>
      <c r="N6" s="24" t="s">
        <v>149</v>
      </c>
      <c r="O6" s="24" t="s">
        <v>150</v>
      </c>
      <c r="P6" s="24" t="s">
        <v>136</v>
      </c>
      <c r="Q6" s="24" t="s">
        <v>120</v>
      </c>
      <c r="R6" s="24" t="s">
        <v>121</v>
      </c>
      <c r="S6" s="24" t="s">
        <v>120</v>
      </c>
      <c r="T6" s="24" t="s">
        <v>151</v>
      </c>
      <c r="U6" s="25"/>
      <c r="V6" s="25"/>
      <c r="W6" s="26"/>
      <c r="X6" s="25"/>
      <c r="Y6" s="26"/>
      <c r="Z6" s="25"/>
      <c r="AA6" s="25"/>
    </row>
    <row r="7" customFormat="false" ht="43.25" hidden="false" customHeight="false" outlineLevel="0" collapsed="false">
      <c r="A7" s="27" t="s">
        <v>152</v>
      </c>
      <c r="B7" s="28" t="s">
        <v>62</v>
      </c>
      <c r="C7" s="28" t="s">
        <v>153</v>
      </c>
      <c r="D7" s="28" t="s">
        <v>154</v>
      </c>
      <c r="E7" s="28" t="s">
        <v>155</v>
      </c>
      <c r="F7" s="28" t="s">
        <v>142</v>
      </c>
      <c r="G7" s="28" t="s">
        <v>156</v>
      </c>
      <c r="H7" s="28" t="s">
        <v>111</v>
      </c>
      <c r="I7" s="28" t="s">
        <v>157</v>
      </c>
      <c r="J7" s="28" t="s">
        <v>158</v>
      </c>
      <c r="K7" s="28" t="s">
        <v>159</v>
      </c>
      <c r="L7" s="28" t="s">
        <v>160</v>
      </c>
      <c r="M7" s="28" t="s">
        <v>161</v>
      </c>
      <c r="N7" s="28" t="s">
        <v>162</v>
      </c>
      <c r="O7" s="28" t="s">
        <v>163</v>
      </c>
      <c r="P7" s="28" t="s">
        <v>164</v>
      </c>
      <c r="Q7" s="28" t="s">
        <v>165</v>
      </c>
      <c r="R7" s="28" t="s">
        <v>166</v>
      </c>
      <c r="S7" s="28" t="s">
        <v>167</v>
      </c>
      <c r="T7" s="28" t="s">
        <v>168</v>
      </c>
      <c r="U7" s="25"/>
      <c r="V7" s="25"/>
      <c r="W7" s="26"/>
      <c r="X7" s="25"/>
      <c r="Y7" s="26"/>
      <c r="Z7" s="25"/>
      <c r="AA7" s="25"/>
    </row>
    <row r="8" customFormat="false" ht="64.15" hidden="false" customHeight="false" outlineLevel="0" collapsed="false">
      <c r="A8" s="23" t="s">
        <v>169</v>
      </c>
      <c r="B8" s="24" t="s">
        <v>63</v>
      </c>
      <c r="C8" s="24" t="s">
        <v>170</v>
      </c>
      <c r="D8" s="24" t="s">
        <v>171</v>
      </c>
      <c r="E8" s="24" t="s">
        <v>172</v>
      </c>
      <c r="F8" s="24" t="s">
        <v>142</v>
      </c>
      <c r="G8" s="24" t="s">
        <v>173</v>
      </c>
      <c r="H8" s="24" t="s">
        <v>111</v>
      </c>
      <c r="I8" s="24" t="s">
        <v>112</v>
      </c>
      <c r="J8" s="24" t="s">
        <v>145</v>
      </c>
      <c r="K8" s="24" t="s">
        <v>174</v>
      </c>
      <c r="L8" s="24" t="s">
        <v>175</v>
      </c>
      <c r="M8" s="24" t="s">
        <v>176</v>
      </c>
      <c r="N8" s="24" t="s">
        <v>177</v>
      </c>
      <c r="O8" s="24" t="s">
        <v>178</v>
      </c>
      <c r="P8" s="24" t="s">
        <v>136</v>
      </c>
      <c r="Q8" s="24" t="s">
        <v>120</v>
      </c>
      <c r="R8" s="24" t="s">
        <v>121</v>
      </c>
      <c r="S8" s="24" t="s">
        <v>120</v>
      </c>
      <c r="T8" s="24" t="s">
        <v>179</v>
      </c>
      <c r="U8" s="25"/>
      <c r="V8" s="25"/>
      <c r="W8" s="26"/>
      <c r="X8" s="25"/>
      <c r="Y8" s="26"/>
      <c r="Z8" s="25"/>
      <c r="AA8" s="25"/>
    </row>
    <row r="9" customFormat="false" ht="53.7" hidden="false" customHeight="false" outlineLevel="0" collapsed="false">
      <c r="A9" s="27" t="s">
        <v>180</v>
      </c>
      <c r="B9" s="28" t="s">
        <v>63</v>
      </c>
      <c r="C9" s="28" t="s">
        <v>181</v>
      </c>
      <c r="D9" s="28" t="s">
        <v>182</v>
      </c>
      <c r="E9" s="28" t="s">
        <v>183</v>
      </c>
      <c r="F9" s="28" t="s">
        <v>142</v>
      </c>
      <c r="G9" s="28" t="s">
        <v>184</v>
      </c>
      <c r="H9" s="28" t="s">
        <v>185</v>
      </c>
      <c r="I9" s="28" t="s">
        <v>112</v>
      </c>
      <c r="J9" s="28" t="s">
        <v>186</v>
      </c>
      <c r="K9" s="28" t="s">
        <v>187</v>
      </c>
      <c r="L9" s="28" t="s">
        <v>188</v>
      </c>
      <c r="M9" s="28" t="s">
        <v>189</v>
      </c>
      <c r="N9" s="28" t="s">
        <v>190</v>
      </c>
      <c r="O9" s="28" t="s">
        <v>191</v>
      </c>
      <c r="P9" s="28" t="s">
        <v>119</v>
      </c>
      <c r="Q9" s="28" t="s">
        <v>120</v>
      </c>
      <c r="R9" s="28" t="s">
        <v>192</v>
      </c>
      <c r="S9" s="28" t="s">
        <v>193</v>
      </c>
      <c r="T9" s="28" t="s">
        <v>194</v>
      </c>
      <c r="U9" s="25"/>
      <c r="V9" s="25"/>
      <c r="W9" s="26"/>
      <c r="X9" s="25"/>
      <c r="Y9" s="26"/>
      <c r="Z9" s="25"/>
      <c r="AA9" s="25"/>
    </row>
    <row r="10" customFormat="false" ht="53.7" hidden="false" customHeight="false" outlineLevel="0" collapsed="false">
      <c r="A10" s="23" t="s">
        <v>195</v>
      </c>
      <c r="B10" s="24" t="s">
        <v>63</v>
      </c>
      <c r="C10" s="24" t="s">
        <v>196</v>
      </c>
      <c r="D10" s="24" t="s">
        <v>197</v>
      </c>
      <c r="E10" s="24" t="s">
        <v>172</v>
      </c>
      <c r="F10" s="24" t="s">
        <v>142</v>
      </c>
      <c r="G10" s="24" t="s">
        <v>198</v>
      </c>
      <c r="H10" s="24" t="s">
        <v>111</v>
      </c>
      <c r="I10" s="24" t="s">
        <v>112</v>
      </c>
      <c r="J10" s="24" t="s">
        <v>199</v>
      </c>
      <c r="K10" s="24" t="s">
        <v>200</v>
      </c>
      <c r="L10" s="24" t="s">
        <v>201</v>
      </c>
      <c r="M10" s="24" t="s">
        <v>202</v>
      </c>
      <c r="N10" s="24" t="s">
        <v>203</v>
      </c>
      <c r="O10" s="24" t="s">
        <v>204</v>
      </c>
      <c r="P10" s="24" t="s">
        <v>136</v>
      </c>
      <c r="Q10" s="24" t="s">
        <v>165</v>
      </c>
      <c r="R10" s="24" t="s">
        <v>205</v>
      </c>
      <c r="S10" s="24" t="s">
        <v>166</v>
      </c>
      <c r="T10" s="24" t="s">
        <v>206</v>
      </c>
      <c r="U10" s="25"/>
      <c r="V10" s="25"/>
      <c r="W10" s="26"/>
      <c r="X10" s="25"/>
      <c r="Y10" s="26"/>
      <c r="Z10" s="25"/>
      <c r="AA10" s="25"/>
    </row>
    <row r="11" customFormat="false" ht="64.15" hidden="false" customHeight="false" outlineLevel="0" collapsed="false">
      <c r="A11" s="27" t="s">
        <v>207</v>
      </c>
      <c r="B11" s="28" t="s">
        <v>64</v>
      </c>
      <c r="C11" s="28" t="s">
        <v>208</v>
      </c>
      <c r="D11" s="28" t="s">
        <v>209</v>
      </c>
      <c r="E11" s="28" t="s">
        <v>210</v>
      </c>
      <c r="F11" s="28" t="s">
        <v>142</v>
      </c>
      <c r="G11" s="28" t="s">
        <v>211</v>
      </c>
      <c r="H11" s="28" t="s">
        <v>111</v>
      </c>
      <c r="I11" s="28" t="s">
        <v>212</v>
      </c>
      <c r="J11" s="28" t="s">
        <v>145</v>
      </c>
      <c r="K11" s="28" t="s">
        <v>213</v>
      </c>
      <c r="L11" s="28" t="s">
        <v>214</v>
      </c>
      <c r="M11" s="28" t="s">
        <v>215</v>
      </c>
      <c r="N11" s="28" t="s">
        <v>216</v>
      </c>
      <c r="O11" s="28" t="s">
        <v>217</v>
      </c>
      <c r="P11" s="28" t="s">
        <v>119</v>
      </c>
      <c r="Q11" s="28" t="s">
        <v>120</v>
      </c>
      <c r="R11" s="28" t="s">
        <v>121</v>
      </c>
      <c r="S11" s="28" t="s">
        <v>120</v>
      </c>
      <c r="T11" s="28" t="s">
        <v>218</v>
      </c>
      <c r="U11" s="25"/>
      <c r="V11" s="25"/>
      <c r="W11" s="26"/>
      <c r="X11" s="25"/>
      <c r="Y11" s="26"/>
      <c r="Z11" s="25"/>
      <c r="AA11" s="25"/>
    </row>
    <row r="12" customFormat="false" ht="43.25" hidden="false" customHeight="false" outlineLevel="0" collapsed="false">
      <c r="A12" s="23" t="s">
        <v>27</v>
      </c>
      <c r="B12" s="24" t="s">
        <v>65</v>
      </c>
      <c r="C12" s="24" t="s">
        <v>219</v>
      </c>
      <c r="D12" s="24" t="s">
        <v>220</v>
      </c>
      <c r="E12" s="24" t="s">
        <v>221</v>
      </c>
      <c r="F12" s="24" t="s">
        <v>142</v>
      </c>
      <c r="G12" s="24" t="s">
        <v>222</v>
      </c>
      <c r="H12" s="24" t="s">
        <v>111</v>
      </c>
      <c r="I12" s="24" t="s">
        <v>223</v>
      </c>
      <c r="J12" s="24" t="s">
        <v>224</v>
      </c>
      <c r="K12" s="24" t="s">
        <v>225</v>
      </c>
      <c r="L12" s="24" t="s">
        <v>226</v>
      </c>
      <c r="M12" s="24" t="s">
        <v>227</v>
      </c>
      <c r="N12" s="24" t="s">
        <v>228</v>
      </c>
      <c r="O12" s="24" t="s">
        <v>229</v>
      </c>
      <c r="P12" s="24" t="s">
        <v>119</v>
      </c>
      <c r="Q12" s="24" t="s">
        <v>120</v>
      </c>
      <c r="R12" s="24" t="s">
        <v>121</v>
      </c>
      <c r="S12" s="24" t="s">
        <v>230</v>
      </c>
      <c r="T12" s="24" t="s">
        <v>231</v>
      </c>
      <c r="U12" s="25"/>
      <c r="V12" s="25"/>
      <c r="W12" s="26"/>
      <c r="X12" s="25"/>
      <c r="Y12" s="26"/>
      <c r="Z12" s="25"/>
      <c r="AA12" s="25"/>
    </row>
    <row r="13" customFormat="false" ht="32.8" hidden="false" customHeight="false" outlineLevel="0" collapsed="false">
      <c r="A13" s="27" t="s">
        <v>232</v>
      </c>
      <c r="B13" s="28" t="s">
        <v>65</v>
      </c>
      <c r="C13" s="28" t="s">
        <v>233</v>
      </c>
      <c r="D13" s="28" t="s">
        <v>234</v>
      </c>
      <c r="E13" s="28" t="s">
        <v>210</v>
      </c>
      <c r="F13" s="28" t="s">
        <v>235</v>
      </c>
      <c r="G13" s="28" t="s">
        <v>236</v>
      </c>
      <c r="H13" s="28" t="s">
        <v>185</v>
      </c>
      <c r="I13" s="28" t="s">
        <v>237</v>
      </c>
      <c r="J13" s="28" t="s">
        <v>238</v>
      </c>
      <c r="K13" s="28" t="s">
        <v>239</v>
      </c>
      <c r="L13" s="28" t="s">
        <v>240</v>
      </c>
      <c r="M13" s="28" t="s">
        <v>241</v>
      </c>
      <c r="N13" s="28" t="s">
        <v>242</v>
      </c>
      <c r="O13" s="28" t="s">
        <v>243</v>
      </c>
      <c r="P13" s="28" t="s">
        <v>119</v>
      </c>
      <c r="Q13" s="28" t="s">
        <v>165</v>
      </c>
      <c r="R13" s="28" t="s">
        <v>192</v>
      </c>
      <c r="S13" s="28" t="s">
        <v>244</v>
      </c>
      <c r="T13" s="28" t="s">
        <v>245</v>
      </c>
      <c r="U13" s="25"/>
      <c r="V13" s="25"/>
      <c r="W13" s="26"/>
      <c r="X13" s="25"/>
      <c r="Y13" s="26"/>
      <c r="Z13" s="25"/>
      <c r="AA13" s="25"/>
    </row>
    <row r="14" customFormat="false" ht="74.6" hidden="false" customHeight="false" outlineLevel="0" collapsed="false">
      <c r="A14" s="23" t="s">
        <v>246</v>
      </c>
      <c r="B14" s="24" t="s">
        <v>66</v>
      </c>
      <c r="C14" s="24" t="s">
        <v>247</v>
      </c>
      <c r="D14" s="24" t="s">
        <v>248</v>
      </c>
      <c r="E14" s="24" t="s">
        <v>249</v>
      </c>
      <c r="F14" s="24" t="s">
        <v>142</v>
      </c>
      <c r="G14" s="24" t="s">
        <v>250</v>
      </c>
      <c r="H14" s="24" t="s">
        <v>111</v>
      </c>
      <c r="I14" s="24" t="s">
        <v>251</v>
      </c>
      <c r="J14" s="24" t="s">
        <v>252</v>
      </c>
      <c r="K14" s="24" t="s">
        <v>253</v>
      </c>
      <c r="L14" s="24" t="s">
        <v>254</v>
      </c>
      <c r="M14" s="24" t="s">
        <v>255</v>
      </c>
      <c r="N14" s="24" t="s">
        <v>256</v>
      </c>
      <c r="O14" s="24" t="s">
        <v>257</v>
      </c>
      <c r="P14" s="24" t="s">
        <v>136</v>
      </c>
      <c r="Q14" s="24" t="s">
        <v>120</v>
      </c>
      <c r="R14" s="24" t="s">
        <v>258</v>
      </c>
      <c r="S14" s="24" t="s">
        <v>259</v>
      </c>
      <c r="T14" s="24" t="s">
        <v>260</v>
      </c>
      <c r="U14" s="25"/>
      <c r="V14" s="25"/>
      <c r="W14" s="26"/>
      <c r="X14" s="25"/>
      <c r="Y14" s="26"/>
      <c r="Z14" s="25"/>
      <c r="AA14" s="25"/>
    </row>
    <row r="15" customFormat="false" ht="53.7" hidden="false" customHeight="false" outlineLevel="0" collapsed="false">
      <c r="A15" s="27" t="s">
        <v>261</v>
      </c>
      <c r="B15" s="28" t="s">
        <v>67</v>
      </c>
      <c r="C15" s="28" t="s">
        <v>262</v>
      </c>
      <c r="D15" s="28" t="s">
        <v>263</v>
      </c>
      <c r="E15" s="28" t="s">
        <v>221</v>
      </c>
      <c r="F15" s="28" t="s">
        <v>142</v>
      </c>
      <c r="G15" s="28" t="s">
        <v>264</v>
      </c>
      <c r="H15" s="28" t="s">
        <v>111</v>
      </c>
      <c r="I15" s="28" t="s">
        <v>112</v>
      </c>
      <c r="J15" s="28" t="s">
        <v>265</v>
      </c>
      <c r="K15" s="28" t="s">
        <v>266</v>
      </c>
      <c r="L15" s="28" t="s">
        <v>267</v>
      </c>
      <c r="M15" s="28" t="s">
        <v>268</v>
      </c>
      <c r="N15" s="28" t="s">
        <v>269</v>
      </c>
      <c r="O15" s="28" t="s">
        <v>270</v>
      </c>
      <c r="P15" s="28" t="s">
        <v>119</v>
      </c>
      <c r="Q15" s="28" t="s">
        <v>165</v>
      </c>
      <c r="R15" s="28" t="s">
        <v>121</v>
      </c>
      <c r="S15" s="28" t="s">
        <v>120</v>
      </c>
      <c r="T15" s="28" t="s">
        <v>271</v>
      </c>
      <c r="U15" s="25"/>
      <c r="V15" s="25"/>
      <c r="W15" s="26"/>
      <c r="X15" s="25"/>
      <c r="Y15" s="26"/>
      <c r="Z15" s="25"/>
      <c r="AA15" s="25"/>
    </row>
    <row r="16" customFormat="false" ht="43.25" hidden="false" customHeight="false" outlineLevel="0" collapsed="false">
      <c r="A16" s="23" t="s">
        <v>272</v>
      </c>
      <c r="B16" s="24" t="s">
        <v>67</v>
      </c>
      <c r="C16" s="24" t="s">
        <v>273</v>
      </c>
      <c r="D16" s="24" t="s">
        <v>263</v>
      </c>
      <c r="E16" s="24" t="s">
        <v>126</v>
      </c>
      <c r="F16" s="24" t="s">
        <v>142</v>
      </c>
      <c r="G16" s="24" t="s">
        <v>274</v>
      </c>
      <c r="H16" s="24" t="s">
        <v>275</v>
      </c>
      <c r="I16" s="24" t="s">
        <v>112</v>
      </c>
      <c r="J16" s="24" t="s">
        <v>276</v>
      </c>
      <c r="K16" s="24" t="s">
        <v>277</v>
      </c>
      <c r="L16" s="24" t="s">
        <v>278</v>
      </c>
      <c r="M16" s="24" t="s">
        <v>279</v>
      </c>
      <c r="N16" s="24" t="s">
        <v>280</v>
      </c>
      <c r="O16" s="24" t="s">
        <v>281</v>
      </c>
      <c r="P16" s="24" t="s">
        <v>119</v>
      </c>
      <c r="Q16" s="24" t="s">
        <v>165</v>
      </c>
      <c r="R16" s="24" t="s">
        <v>121</v>
      </c>
      <c r="S16" s="24" t="s">
        <v>120</v>
      </c>
      <c r="T16" s="24" t="s">
        <v>282</v>
      </c>
      <c r="U16" s="25"/>
      <c r="V16" s="25"/>
      <c r="W16" s="26"/>
      <c r="X16" s="25"/>
      <c r="Y16" s="26"/>
      <c r="Z16" s="25"/>
      <c r="AA16" s="25"/>
    </row>
    <row r="17" customFormat="false" ht="32.8" hidden="false" customHeight="false" outlineLevel="0" collapsed="false">
      <c r="A17" s="27" t="s">
        <v>283</v>
      </c>
      <c r="B17" s="28" t="s">
        <v>67</v>
      </c>
      <c r="C17" s="28" t="s">
        <v>284</v>
      </c>
      <c r="D17" s="28" t="s">
        <v>285</v>
      </c>
      <c r="E17" s="28" t="s">
        <v>141</v>
      </c>
      <c r="F17" s="28" t="s">
        <v>286</v>
      </c>
      <c r="G17" s="28" t="s">
        <v>287</v>
      </c>
      <c r="H17" s="28" t="s">
        <v>288</v>
      </c>
      <c r="I17" s="28" t="s">
        <v>112</v>
      </c>
      <c r="J17" s="28" t="s">
        <v>289</v>
      </c>
      <c r="K17" s="28" t="s">
        <v>290</v>
      </c>
      <c r="L17" s="28" t="s">
        <v>291</v>
      </c>
      <c r="M17" s="28" t="s">
        <v>292</v>
      </c>
      <c r="N17" s="28" t="s">
        <v>293</v>
      </c>
      <c r="O17" s="28" t="s">
        <v>294</v>
      </c>
      <c r="P17" s="28" t="s">
        <v>119</v>
      </c>
      <c r="Q17" s="28" t="s">
        <v>165</v>
      </c>
      <c r="R17" s="28" t="s">
        <v>192</v>
      </c>
      <c r="S17" s="28" t="s">
        <v>295</v>
      </c>
      <c r="T17" s="28" t="s">
        <v>296</v>
      </c>
      <c r="U17" s="25"/>
      <c r="V17" s="25"/>
      <c r="W17" s="26"/>
      <c r="X17" s="25"/>
      <c r="Y17" s="26"/>
      <c r="Z17" s="25"/>
      <c r="AA17" s="25"/>
    </row>
    <row r="18" customFormat="false" ht="53.7" hidden="false" customHeight="false" outlineLevel="0" collapsed="false">
      <c r="A18" s="23" t="s">
        <v>297</v>
      </c>
      <c r="B18" s="24" t="s">
        <v>68</v>
      </c>
      <c r="C18" s="24" t="s">
        <v>298</v>
      </c>
      <c r="D18" s="24" t="s">
        <v>299</v>
      </c>
      <c r="E18" s="24" t="s">
        <v>300</v>
      </c>
      <c r="F18" s="24" t="s">
        <v>142</v>
      </c>
      <c r="G18" s="24" t="s">
        <v>301</v>
      </c>
      <c r="H18" s="24" t="s">
        <v>185</v>
      </c>
      <c r="I18" s="24" t="s">
        <v>302</v>
      </c>
      <c r="J18" s="24" t="s">
        <v>303</v>
      </c>
      <c r="K18" s="24" t="s">
        <v>304</v>
      </c>
      <c r="L18" s="24" t="s">
        <v>305</v>
      </c>
      <c r="M18" s="24" t="s">
        <v>306</v>
      </c>
      <c r="N18" s="24" t="s">
        <v>307</v>
      </c>
      <c r="O18" s="24" t="s">
        <v>308</v>
      </c>
      <c r="P18" s="24" t="s">
        <v>119</v>
      </c>
      <c r="Q18" s="24" t="s">
        <v>120</v>
      </c>
      <c r="R18" s="24" t="s">
        <v>121</v>
      </c>
      <c r="S18" s="24" t="s">
        <v>309</v>
      </c>
      <c r="T18" s="24" t="s">
        <v>310</v>
      </c>
      <c r="U18" s="25"/>
      <c r="V18" s="25"/>
      <c r="W18" s="26"/>
      <c r="X18" s="25"/>
      <c r="Y18" s="26"/>
      <c r="Z18" s="25"/>
      <c r="AA18" s="25"/>
    </row>
    <row r="19" customFormat="false" ht="32.8" hidden="false" customHeight="false" outlineLevel="0" collapsed="false">
      <c r="A19" s="27" t="s">
        <v>311</v>
      </c>
      <c r="B19" s="28" t="s">
        <v>68</v>
      </c>
      <c r="C19" s="28" t="s">
        <v>312</v>
      </c>
      <c r="D19" s="28" t="s">
        <v>313</v>
      </c>
      <c r="E19" s="28" t="s">
        <v>126</v>
      </c>
      <c r="F19" s="28" t="s">
        <v>142</v>
      </c>
      <c r="G19" s="28" t="s">
        <v>314</v>
      </c>
      <c r="H19" s="28" t="s">
        <v>275</v>
      </c>
      <c r="I19" s="28" t="s">
        <v>315</v>
      </c>
      <c r="J19" s="28" t="s">
        <v>316</v>
      </c>
      <c r="K19" s="28" t="s">
        <v>317</v>
      </c>
      <c r="L19" s="28" t="s">
        <v>318</v>
      </c>
      <c r="M19" s="28" t="s">
        <v>319</v>
      </c>
      <c r="N19" s="28" t="s">
        <v>280</v>
      </c>
      <c r="O19" s="28" t="s">
        <v>320</v>
      </c>
      <c r="P19" s="28" t="s">
        <v>321</v>
      </c>
      <c r="Q19" s="28" t="s">
        <v>120</v>
      </c>
      <c r="R19" s="28" t="s">
        <v>121</v>
      </c>
      <c r="S19" s="28" t="s">
        <v>322</v>
      </c>
      <c r="T19" s="28" t="s">
        <v>323</v>
      </c>
      <c r="U19" s="25"/>
      <c r="V19" s="25"/>
      <c r="W19" s="26"/>
      <c r="X19" s="25"/>
      <c r="Y19" s="26"/>
      <c r="Z19" s="25"/>
      <c r="AA19" s="25"/>
    </row>
    <row r="20" customFormat="false" ht="43.25" hidden="false" customHeight="false" outlineLevel="0" collapsed="false">
      <c r="A20" s="23" t="s">
        <v>324</v>
      </c>
      <c r="B20" s="24" t="s">
        <v>68</v>
      </c>
      <c r="C20" s="24" t="s">
        <v>325</v>
      </c>
      <c r="D20" s="24" t="s">
        <v>326</v>
      </c>
      <c r="E20" s="24" t="s">
        <v>327</v>
      </c>
      <c r="F20" s="24" t="s">
        <v>142</v>
      </c>
      <c r="G20" s="24" t="s">
        <v>328</v>
      </c>
      <c r="H20" s="24" t="s">
        <v>275</v>
      </c>
      <c r="I20" s="24" t="s">
        <v>112</v>
      </c>
      <c r="J20" s="24" t="s">
        <v>329</v>
      </c>
      <c r="K20" s="24" t="s">
        <v>330</v>
      </c>
      <c r="L20" s="24" t="s">
        <v>331</v>
      </c>
      <c r="M20" s="24" t="s">
        <v>332</v>
      </c>
      <c r="N20" s="24" t="s">
        <v>280</v>
      </c>
      <c r="O20" s="24" t="s">
        <v>333</v>
      </c>
      <c r="P20" s="24" t="s">
        <v>334</v>
      </c>
      <c r="Q20" s="24" t="s">
        <v>165</v>
      </c>
      <c r="R20" s="24" t="s">
        <v>335</v>
      </c>
      <c r="S20" s="24" t="s">
        <v>244</v>
      </c>
      <c r="T20" s="24" t="s">
        <v>336</v>
      </c>
      <c r="U20" s="25"/>
      <c r="V20" s="25"/>
      <c r="W20" s="26"/>
      <c r="X20" s="25"/>
      <c r="Y20" s="26"/>
      <c r="Z20" s="25"/>
      <c r="AA20" s="25"/>
    </row>
    <row r="21" customFormat="false" ht="53.7" hidden="false" customHeight="false" outlineLevel="0" collapsed="false">
      <c r="A21" s="27" t="s">
        <v>337</v>
      </c>
      <c r="B21" s="28" t="s">
        <v>69</v>
      </c>
      <c r="C21" s="28" t="s">
        <v>338</v>
      </c>
      <c r="D21" s="28" t="s">
        <v>339</v>
      </c>
      <c r="E21" s="28" t="s">
        <v>340</v>
      </c>
      <c r="F21" s="28" t="s">
        <v>142</v>
      </c>
      <c r="G21" s="28" t="s">
        <v>341</v>
      </c>
      <c r="H21" s="28" t="s">
        <v>185</v>
      </c>
      <c r="I21" s="28" t="s">
        <v>112</v>
      </c>
      <c r="J21" s="28" t="s">
        <v>342</v>
      </c>
      <c r="K21" s="28" t="s">
        <v>343</v>
      </c>
      <c r="L21" s="28" t="s">
        <v>344</v>
      </c>
      <c r="M21" s="28" t="s">
        <v>345</v>
      </c>
      <c r="N21" s="28" t="s">
        <v>346</v>
      </c>
      <c r="O21" s="28" t="s">
        <v>347</v>
      </c>
      <c r="P21" s="28" t="s">
        <v>136</v>
      </c>
      <c r="Q21" s="28" t="s">
        <v>120</v>
      </c>
      <c r="R21" s="28" t="s">
        <v>348</v>
      </c>
      <c r="S21" s="28" t="s">
        <v>166</v>
      </c>
      <c r="T21" s="28" t="s">
        <v>349</v>
      </c>
      <c r="U21" s="25"/>
      <c r="V21" s="25"/>
      <c r="W21" s="26"/>
      <c r="X21" s="25"/>
      <c r="Y21" s="26"/>
      <c r="Z21" s="25"/>
      <c r="AA21" s="25"/>
    </row>
    <row r="22" customFormat="false" ht="74.6" hidden="false" customHeight="false" outlineLevel="0" collapsed="false">
      <c r="A22" s="23" t="s">
        <v>350</v>
      </c>
      <c r="B22" s="24" t="s">
        <v>69</v>
      </c>
      <c r="C22" s="24" t="s">
        <v>351</v>
      </c>
      <c r="D22" s="24" t="s">
        <v>352</v>
      </c>
      <c r="E22" s="24" t="s">
        <v>353</v>
      </c>
      <c r="F22" s="24" t="s">
        <v>142</v>
      </c>
      <c r="G22" s="24" t="s">
        <v>354</v>
      </c>
      <c r="H22" s="24" t="s">
        <v>111</v>
      </c>
      <c r="I22" s="24" t="s">
        <v>112</v>
      </c>
      <c r="J22" s="24" t="s">
        <v>355</v>
      </c>
      <c r="K22" s="24" t="s">
        <v>356</v>
      </c>
      <c r="L22" s="24" t="s">
        <v>357</v>
      </c>
      <c r="M22" s="24" t="s">
        <v>358</v>
      </c>
      <c r="N22" s="24" t="s">
        <v>359</v>
      </c>
      <c r="O22" s="24" t="s">
        <v>360</v>
      </c>
      <c r="P22" s="24" t="s">
        <v>361</v>
      </c>
      <c r="Q22" s="24" t="s">
        <v>120</v>
      </c>
      <c r="R22" s="24" t="s">
        <v>166</v>
      </c>
      <c r="S22" s="24" t="s">
        <v>166</v>
      </c>
      <c r="T22" s="24" t="s">
        <v>362</v>
      </c>
      <c r="U22" s="25"/>
      <c r="V22" s="25"/>
      <c r="W22" s="26"/>
      <c r="X22" s="25"/>
      <c r="Y22" s="26"/>
      <c r="Z22" s="25"/>
      <c r="AA22" s="25"/>
    </row>
    <row r="23" customFormat="false" ht="64.15" hidden="false" customHeight="false" outlineLevel="0" collapsed="false">
      <c r="A23" s="27" t="s">
        <v>363</v>
      </c>
      <c r="B23" s="28" t="s">
        <v>69</v>
      </c>
      <c r="C23" s="28" t="s">
        <v>364</v>
      </c>
      <c r="D23" s="28" t="s">
        <v>365</v>
      </c>
      <c r="E23" s="28" t="s">
        <v>353</v>
      </c>
      <c r="F23" s="28" t="s">
        <v>142</v>
      </c>
      <c r="G23" s="28" t="s">
        <v>366</v>
      </c>
      <c r="H23" s="28" t="s">
        <v>111</v>
      </c>
      <c r="I23" s="28" t="s">
        <v>112</v>
      </c>
      <c r="J23" s="28" t="s">
        <v>367</v>
      </c>
      <c r="K23" s="28" t="s">
        <v>368</v>
      </c>
      <c r="L23" s="28" t="s">
        <v>369</v>
      </c>
      <c r="M23" s="28" t="s">
        <v>370</v>
      </c>
      <c r="N23" s="28" t="s">
        <v>371</v>
      </c>
      <c r="O23" s="28" t="s">
        <v>372</v>
      </c>
      <c r="P23" s="28" t="s">
        <v>136</v>
      </c>
      <c r="Q23" s="28" t="s">
        <v>165</v>
      </c>
      <c r="R23" s="28" t="s">
        <v>373</v>
      </c>
      <c r="S23" s="28" t="s">
        <v>374</v>
      </c>
      <c r="T23" s="28" t="s">
        <v>375</v>
      </c>
      <c r="U23" s="25"/>
      <c r="V23" s="25"/>
      <c r="W23" s="26"/>
      <c r="X23" s="25"/>
      <c r="Y23" s="26"/>
      <c r="Z23" s="25"/>
      <c r="AA23" s="25"/>
    </row>
    <row r="24" customFormat="false" ht="53.7" hidden="false" customHeight="false" outlineLevel="0" collapsed="false">
      <c r="A24" s="23" t="s">
        <v>376</v>
      </c>
      <c r="B24" s="24" t="s">
        <v>69</v>
      </c>
      <c r="C24" s="24" t="s">
        <v>377</v>
      </c>
      <c r="D24" s="24" t="s">
        <v>378</v>
      </c>
      <c r="E24" s="24" t="s">
        <v>379</v>
      </c>
      <c r="F24" s="24" t="s">
        <v>142</v>
      </c>
      <c r="G24" s="24" t="s">
        <v>380</v>
      </c>
      <c r="H24" s="24" t="s">
        <v>44</v>
      </c>
      <c r="I24" s="24" t="s">
        <v>112</v>
      </c>
      <c r="J24" s="24" t="s">
        <v>381</v>
      </c>
      <c r="K24" s="24" t="s">
        <v>382</v>
      </c>
      <c r="L24" s="24" t="s">
        <v>383</v>
      </c>
      <c r="M24" s="24" t="s">
        <v>384</v>
      </c>
      <c r="N24" s="24" t="s">
        <v>385</v>
      </c>
      <c r="O24" s="24" t="s">
        <v>386</v>
      </c>
      <c r="P24" s="24" t="s">
        <v>387</v>
      </c>
      <c r="Q24" s="24" t="s">
        <v>165</v>
      </c>
      <c r="R24" s="24" t="s">
        <v>388</v>
      </c>
      <c r="S24" s="24" t="s">
        <v>389</v>
      </c>
      <c r="T24" s="24" t="s">
        <v>390</v>
      </c>
      <c r="U24" s="25"/>
      <c r="V24" s="25"/>
      <c r="W24" s="26"/>
      <c r="X24" s="25"/>
      <c r="Y24" s="26"/>
      <c r="Z24" s="25"/>
      <c r="AA24" s="25"/>
    </row>
    <row r="25" customFormat="false" ht="53.7" hidden="false" customHeight="false" outlineLevel="0" collapsed="false">
      <c r="A25" s="27" t="s">
        <v>391</v>
      </c>
      <c r="B25" s="28" t="s">
        <v>70</v>
      </c>
      <c r="C25" s="28" t="s">
        <v>392</v>
      </c>
      <c r="D25" s="28" t="s">
        <v>393</v>
      </c>
      <c r="E25" s="28" t="s">
        <v>394</v>
      </c>
      <c r="F25" s="28" t="s">
        <v>142</v>
      </c>
      <c r="G25" s="28" t="s">
        <v>395</v>
      </c>
      <c r="H25" s="28" t="s">
        <v>44</v>
      </c>
      <c r="I25" s="28" t="s">
        <v>112</v>
      </c>
      <c r="J25" s="28" t="s">
        <v>396</v>
      </c>
      <c r="K25" s="28" t="s">
        <v>397</v>
      </c>
      <c r="L25" s="28" t="s">
        <v>398</v>
      </c>
      <c r="M25" s="28" t="s">
        <v>399</v>
      </c>
      <c r="N25" s="28" t="s">
        <v>400</v>
      </c>
      <c r="O25" s="28" t="s">
        <v>401</v>
      </c>
      <c r="P25" s="28" t="s">
        <v>119</v>
      </c>
      <c r="Q25" s="28" t="s">
        <v>120</v>
      </c>
      <c r="R25" s="28" t="s">
        <v>121</v>
      </c>
      <c r="S25" s="28" t="s">
        <v>120</v>
      </c>
      <c r="T25" s="28" t="s">
        <v>402</v>
      </c>
      <c r="U25" s="25"/>
      <c r="V25" s="25"/>
      <c r="W25" s="26"/>
      <c r="X25" s="25"/>
      <c r="Y25" s="26"/>
      <c r="Z25" s="25"/>
      <c r="AA25" s="25"/>
    </row>
    <row r="26" customFormat="false" ht="32.8" hidden="false" customHeight="false" outlineLevel="0" collapsed="false">
      <c r="A26" s="23" t="s">
        <v>403</v>
      </c>
      <c r="B26" s="24" t="s">
        <v>71</v>
      </c>
      <c r="C26" s="24" t="s">
        <v>404</v>
      </c>
      <c r="D26" s="24" t="s">
        <v>405</v>
      </c>
      <c r="E26" s="24" t="s">
        <v>406</v>
      </c>
      <c r="F26" s="24" t="s">
        <v>407</v>
      </c>
      <c r="G26" s="24" t="s">
        <v>408</v>
      </c>
      <c r="H26" s="24" t="s">
        <v>275</v>
      </c>
      <c r="I26" s="24" t="s">
        <v>112</v>
      </c>
      <c r="J26" s="24" t="s">
        <v>409</v>
      </c>
      <c r="K26" s="24" t="s">
        <v>410</v>
      </c>
      <c r="L26" s="24" t="s">
        <v>411</v>
      </c>
      <c r="M26" s="24" t="s">
        <v>412</v>
      </c>
      <c r="N26" s="24" t="s">
        <v>413</v>
      </c>
      <c r="O26" s="24" t="s">
        <v>414</v>
      </c>
      <c r="P26" s="24" t="s">
        <v>415</v>
      </c>
      <c r="Q26" s="24" t="s">
        <v>120</v>
      </c>
      <c r="R26" s="24" t="s">
        <v>192</v>
      </c>
      <c r="S26" s="24" t="s">
        <v>416</v>
      </c>
      <c r="T26" s="24" t="s">
        <v>417</v>
      </c>
      <c r="U26" s="25"/>
      <c r="V26" s="25"/>
      <c r="W26" s="26"/>
      <c r="X26" s="25"/>
      <c r="Y26" s="26"/>
      <c r="Z26" s="25"/>
      <c r="AA26" s="25"/>
    </row>
  </sheetData>
  <autoFilter ref="A3:AA26"/>
  <mergeCells count="4">
    <mergeCell ref="A2:F2"/>
    <mergeCell ref="G2:M2"/>
    <mergeCell ref="N2:T2"/>
    <mergeCell ref="U2:AA2"/>
  </mergeCells>
  <conditionalFormatting sqref="U4:U26">
    <cfRule type="cellIs" priority="2" operator="equal" aboveAverage="0" equalAverage="0" bottom="0" percent="0" rank="0" text="" dxfId="7">
      <formula>"offen"</formula>
    </cfRule>
    <cfRule type="cellIs" priority="3" operator="equal" aboveAverage="0" equalAverage="0" bottom="0" percent="0" rank="0" text="" dxfId="8">
      <formula>"in Umsetzung"</formula>
    </cfRule>
    <cfRule type="cellIs" priority="4" operator="equal" aboveAverage="0" equalAverage="0" bottom="0" percent="0" rank="0" text="" dxfId="9">
      <formula>"umgesetzt"</formula>
    </cfRule>
    <cfRule type="cellIs" priority="5" operator="equal" aboveAverage="0" equalAverage="0" bottom="0" percent="0" rank="0" text="" dxfId="10">
      <formula>"nicht relevant"</formula>
    </cfRule>
  </conditionalFormatting>
  <conditionalFormatting sqref="X4:X26">
    <cfRule type="cellIs" priority="6" operator="equal" aboveAverage="0" equalAverage="0" bottom="0" percent="0" rank="0" text="" dxfId="9">
      <formula>"angemessen"</formula>
    </cfRule>
    <cfRule type="cellIs" priority="7" operator="equal" aboveAverage="0" equalAverage="0" bottom="0" percent="0" rank="0" text="" dxfId="11">
      <formula>"nicht angemessen"</formula>
    </cfRule>
  </conditionalFormatting>
  <conditionalFormatting sqref="Z4:Z26">
    <cfRule type="cellIs" priority="8" operator="equal" aboveAverage="0" equalAverage="0" bottom="0" percent="0" rank="0" text="" dxfId="9">
      <formula>"wirksam"</formula>
    </cfRule>
    <cfRule type="cellIs" priority="9" operator="equal" aboveAverage="0" equalAverage="0" bottom="0" percent="0" rank="0" text="" dxfId="11">
      <formula>"nicht wirksam"</formula>
    </cfRule>
  </conditionalFormatting>
  <dataValidations count="3">
    <dataValidation allowBlank="true" error="Bitte einen Wert aus der Liste wählen: offen, in Umsetzung, umgesetzt, nicht relevant" errorStyle="stop" errorTitle="Umsetzungsstatus" operator="between" showDropDown="false" showErrorMessage="true" showInputMessage="false" sqref="U4:U26" type="list">
      <formula1>"offen,in Umsetzung,umgesetzt,nicht relevant"</formula1>
      <formula2>0</formula2>
    </dataValidation>
    <dataValidation allowBlank="true" error="Bitte einen Wert aus der Liste wählen: angemessen, nicht angemessen, offen" errorStyle="stop" errorTitle="Ergebnis Design" operator="between" showDropDown="false" showErrorMessage="true" showInputMessage="false" sqref="X4:X26" type="list">
      <formula1>"angemessen,nicht angemessen,offen"</formula1>
      <formula2>0</formula2>
    </dataValidation>
    <dataValidation allowBlank="true" error="Bitte einen Wert aus der Liste wählen: wirksam, nicht wirksam, nicht getestet" errorStyle="stop" errorTitle="Ergebnis Wirksamkeit" operator="between" showDropDown="false" showErrorMessage="true" showInputMessage="false" sqref="Z4:Z26" type="list">
      <formula1>"wirksam,nicht wirksam,nicht getestet"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&amp;R&amp;8 EmpCo · IKS-Kontrollmatrix · intern</oddHeader>
    <oddFooter>&amp;C&amp;8 Seite &amp;P von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tru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9"/>
  </cols>
  <sheetData>
    <row r="1" customFormat="false" ht="16.15" hidden="false" customHeight="false" outlineLevel="0" collapsed="false">
      <c r="A1" s="17" t="s">
        <v>418</v>
      </c>
    </row>
    <row r="3" customFormat="false" ht="30" hidden="false" customHeight="true" outlineLevel="0" collapsed="false">
      <c r="A3" s="22" t="s">
        <v>419</v>
      </c>
      <c r="B3" s="22" t="s">
        <v>82</v>
      </c>
      <c r="C3" s="22" t="s">
        <v>420</v>
      </c>
      <c r="D3" s="22" t="s">
        <v>421</v>
      </c>
      <c r="E3" s="22" t="s">
        <v>422</v>
      </c>
      <c r="F3" s="22" t="s">
        <v>37</v>
      </c>
    </row>
    <row r="4" customFormat="false" ht="15" hidden="false" customHeight="false" outlineLevel="0" collapsed="false">
      <c r="A4" s="23" t="s">
        <v>423</v>
      </c>
      <c r="B4" s="24" t="s">
        <v>424</v>
      </c>
      <c r="C4" s="24" t="s">
        <v>425</v>
      </c>
      <c r="D4" s="24" t="s">
        <v>426</v>
      </c>
      <c r="E4" s="24" t="s">
        <v>427</v>
      </c>
      <c r="F4" s="24" t="n">
        <f aca="false">COUNTIF(Kontrollmatrix!$E$4:$E$26,"*KZ1*")</f>
        <v>6</v>
      </c>
    </row>
    <row r="5" customFormat="false" ht="15" hidden="false" customHeight="false" outlineLevel="0" collapsed="false">
      <c r="A5" s="27" t="s">
        <v>428</v>
      </c>
      <c r="B5" s="28" t="s">
        <v>429</v>
      </c>
      <c r="C5" s="28" t="s">
        <v>430</v>
      </c>
      <c r="D5" s="28" t="s">
        <v>431</v>
      </c>
      <c r="E5" s="28" t="s">
        <v>432</v>
      </c>
      <c r="F5" s="28" t="n">
        <f aca="false">COUNTIF(Kontrollmatrix!$E$4:$E$26,"*KZ2*")</f>
        <v>6</v>
      </c>
    </row>
    <row r="6" customFormat="false" ht="15" hidden="false" customHeight="false" outlineLevel="0" collapsed="false">
      <c r="A6" s="23" t="s">
        <v>433</v>
      </c>
      <c r="B6" s="24" t="s">
        <v>434</v>
      </c>
      <c r="C6" s="24" t="s">
        <v>435</v>
      </c>
      <c r="D6" s="24" t="s">
        <v>436</v>
      </c>
      <c r="E6" s="24" t="s">
        <v>437</v>
      </c>
      <c r="F6" s="24" t="n">
        <f aca="false">COUNTIF(Kontrollmatrix!$E$4:$E$26,"*KZ3*")</f>
        <v>6</v>
      </c>
    </row>
    <row r="7" customFormat="false" ht="22.35" hidden="false" customHeight="false" outlineLevel="0" collapsed="false">
      <c r="A7" s="27" t="s">
        <v>438</v>
      </c>
      <c r="B7" s="28" t="s">
        <v>439</v>
      </c>
      <c r="C7" s="28" t="s">
        <v>440</v>
      </c>
      <c r="D7" s="28" t="s">
        <v>441</v>
      </c>
      <c r="E7" s="28" t="s">
        <v>442</v>
      </c>
      <c r="F7" s="28" t="n">
        <f aca="false">COUNTIF(Kontrollmatrix!$E$4:$E$26,"*KZ4*")</f>
        <v>2</v>
      </c>
    </row>
    <row r="8" customFormat="false" ht="15" hidden="false" customHeight="false" outlineLevel="0" collapsed="false">
      <c r="A8" s="23" t="s">
        <v>443</v>
      </c>
      <c r="B8" s="24" t="s">
        <v>444</v>
      </c>
      <c r="C8" s="24" t="s">
        <v>445</v>
      </c>
      <c r="D8" s="24" t="s">
        <v>446</v>
      </c>
      <c r="E8" s="24" t="s">
        <v>447</v>
      </c>
      <c r="F8" s="24" t="n">
        <f aca="false">COUNTIF(Kontrollmatrix!$E$4:$E$26,"*KZ5*")</f>
        <v>3</v>
      </c>
    </row>
    <row r="9" customFormat="false" ht="15" hidden="false" customHeight="false" outlineLevel="0" collapsed="false">
      <c r="A9" s="27" t="s">
        <v>448</v>
      </c>
      <c r="B9" s="28" t="s">
        <v>449</v>
      </c>
      <c r="C9" s="28" t="s">
        <v>450</v>
      </c>
      <c r="D9" s="28" t="s">
        <v>451</v>
      </c>
      <c r="E9" s="28" t="s">
        <v>452</v>
      </c>
      <c r="F9" s="28" t="n">
        <f aca="false">COUNTIF(Kontrollmatrix!$E$4:$E$26,"*KZ6*")</f>
        <v>4</v>
      </c>
    </row>
    <row r="10" customFormat="false" ht="15" hidden="false" customHeight="false" outlineLevel="0" collapsed="false">
      <c r="A10" s="23" t="s">
        <v>453</v>
      </c>
      <c r="B10" s="24" t="s">
        <v>454</v>
      </c>
      <c r="C10" s="24" t="s">
        <v>455</v>
      </c>
      <c r="D10" s="24" t="s">
        <v>456</v>
      </c>
      <c r="E10" s="24" t="s">
        <v>457</v>
      </c>
      <c r="F10" s="24" t="n">
        <f aca="false">COUNTIF(Kontrollmatrix!$E$4:$E$26,"*KZ7*")</f>
        <v>2</v>
      </c>
    </row>
    <row r="11" customFormat="false" ht="22.35" hidden="false" customHeight="false" outlineLevel="0" collapsed="false">
      <c r="A11" s="27" t="s">
        <v>458</v>
      </c>
      <c r="B11" s="28" t="s">
        <v>459</v>
      </c>
      <c r="C11" s="28" t="s">
        <v>460</v>
      </c>
      <c r="D11" s="28" t="s">
        <v>461</v>
      </c>
      <c r="E11" s="28" t="s">
        <v>462</v>
      </c>
      <c r="F11" s="28" t="n">
        <f aca="false">COUNTIF(Kontrollmatrix!$E$4:$E$26,"*KZ8*")</f>
        <v>3</v>
      </c>
    </row>
    <row r="12" customFormat="false" ht="22.35" hidden="false" customHeight="false" outlineLevel="0" collapsed="false">
      <c r="A12" s="23" t="s">
        <v>463</v>
      </c>
      <c r="B12" s="24" t="s">
        <v>464</v>
      </c>
      <c r="C12" s="24" t="s">
        <v>465</v>
      </c>
      <c r="D12" s="24" t="s">
        <v>466</v>
      </c>
      <c r="E12" s="24" t="s">
        <v>246</v>
      </c>
      <c r="F12" s="24" t="n">
        <f aca="false">COUNTIF(Kontrollmatrix!$E$4:$E$26,"*KZ9*")</f>
        <v>1</v>
      </c>
    </row>
    <row r="14" customFormat="false" ht="15" hidden="false" customHeight="false" outlineLevel="0" collapsed="false">
      <c r="A14" s="9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A16"/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17" t="s">
        <v>468</v>
      </c>
    </row>
    <row r="3" customFormat="false" ht="30" hidden="false" customHeight="true" outlineLevel="0" collapsed="false">
      <c r="A3" s="22" t="s">
        <v>419</v>
      </c>
      <c r="B3" s="22" t="s">
        <v>469</v>
      </c>
      <c r="C3" s="22" t="s">
        <v>470</v>
      </c>
      <c r="D3" s="22" t="s">
        <v>471</v>
      </c>
      <c r="E3" s="22" t="s">
        <v>93</v>
      </c>
      <c r="F3" s="22" t="s">
        <v>472</v>
      </c>
    </row>
    <row r="4" customFormat="false" ht="22.35" hidden="false" customHeight="false" outlineLevel="0" collapsed="false">
      <c r="A4" s="23" t="s">
        <v>473</v>
      </c>
      <c r="B4" s="24" t="s">
        <v>474</v>
      </c>
      <c r="C4" s="24" t="s">
        <v>475</v>
      </c>
      <c r="D4" s="24" t="s">
        <v>476</v>
      </c>
      <c r="E4" s="24" t="s">
        <v>477</v>
      </c>
      <c r="F4" s="24" t="s">
        <v>478</v>
      </c>
    </row>
    <row r="5" customFormat="false" ht="22.35" hidden="false" customHeight="false" outlineLevel="0" collapsed="false">
      <c r="A5" s="27" t="s">
        <v>479</v>
      </c>
      <c r="B5" s="28" t="s">
        <v>480</v>
      </c>
      <c r="C5" s="28" t="s">
        <v>481</v>
      </c>
      <c r="D5" s="28" t="s">
        <v>482</v>
      </c>
      <c r="E5" s="28" t="s">
        <v>483</v>
      </c>
      <c r="F5" s="28" t="s">
        <v>484</v>
      </c>
    </row>
    <row r="6" customFormat="false" ht="22.35" hidden="false" customHeight="false" outlineLevel="0" collapsed="false">
      <c r="A6" s="23" t="s">
        <v>485</v>
      </c>
      <c r="B6" s="24" t="s">
        <v>486</v>
      </c>
      <c r="C6" s="24" t="s">
        <v>487</v>
      </c>
      <c r="D6" s="24" t="s">
        <v>488</v>
      </c>
      <c r="E6" s="24" t="s">
        <v>483</v>
      </c>
      <c r="F6" s="24" t="s">
        <v>489</v>
      </c>
    </row>
    <row r="7" customFormat="false" ht="15" hidden="false" customHeight="false" outlineLevel="0" collapsed="false">
      <c r="A7" s="27" t="s">
        <v>490</v>
      </c>
      <c r="B7" s="28" t="s">
        <v>491</v>
      </c>
      <c r="C7" s="28" t="s">
        <v>492</v>
      </c>
      <c r="D7" s="28" t="s">
        <v>493</v>
      </c>
      <c r="E7" s="28" t="s">
        <v>483</v>
      </c>
      <c r="F7" s="28" t="s">
        <v>494</v>
      </c>
    </row>
    <row r="8" customFormat="false" ht="15" hidden="false" customHeight="false" outlineLevel="0" collapsed="false">
      <c r="A8" s="23" t="s">
        <v>495</v>
      </c>
      <c r="B8" s="24" t="s">
        <v>496</v>
      </c>
      <c r="C8" s="24" t="s">
        <v>497</v>
      </c>
      <c r="D8" s="24" t="s">
        <v>498</v>
      </c>
      <c r="E8" s="24" t="s">
        <v>483</v>
      </c>
      <c r="F8" s="24" t="s">
        <v>499</v>
      </c>
    </row>
    <row r="9" customFormat="false" ht="22.35" hidden="false" customHeight="false" outlineLevel="0" collapsed="false">
      <c r="A9" s="27" t="s">
        <v>500</v>
      </c>
      <c r="B9" s="28" t="s">
        <v>501</v>
      </c>
      <c r="C9" s="28" t="s">
        <v>502</v>
      </c>
      <c r="D9" s="28" t="s">
        <v>503</v>
      </c>
      <c r="E9" s="28" t="s">
        <v>504</v>
      </c>
      <c r="F9" s="28" t="s">
        <v>505</v>
      </c>
    </row>
    <row r="10" customFormat="false" ht="15" hidden="false" customHeight="false" outlineLevel="0" collapsed="false">
      <c r="A10" s="23" t="s">
        <v>506</v>
      </c>
      <c r="B10" s="24" t="s">
        <v>507</v>
      </c>
      <c r="C10" s="24" t="s">
        <v>508</v>
      </c>
      <c r="D10" s="24" t="s">
        <v>509</v>
      </c>
      <c r="E10" s="24" t="s">
        <v>510</v>
      </c>
      <c r="F10" s="24" t="s">
        <v>138</v>
      </c>
    </row>
    <row r="11" customFormat="false" ht="15" hidden="false" customHeight="false" outlineLevel="0" collapsed="false">
      <c r="A11" s="27" t="s">
        <v>511</v>
      </c>
      <c r="B11" s="28" t="s">
        <v>512</v>
      </c>
      <c r="C11" s="28" t="s">
        <v>513</v>
      </c>
      <c r="D11" s="28" t="s">
        <v>514</v>
      </c>
      <c r="E11" s="28" t="s">
        <v>483</v>
      </c>
      <c r="F11" s="28" t="s">
        <v>138</v>
      </c>
    </row>
    <row r="12" customFormat="false" ht="22.35" hidden="false" customHeight="false" outlineLevel="0" collapsed="false">
      <c r="A12" s="23" t="s">
        <v>515</v>
      </c>
      <c r="B12" s="24" t="s">
        <v>516</v>
      </c>
      <c r="C12" s="24" t="s">
        <v>517</v>
      </c>
      <c r="D12" s="24" t="s">
        <v>518</v>
      </c>
      <c r="E12" s="24" t="s">
        <v>519</v>
      </c>
      <c r="F12" s="24" t="s">
        <v>195</v>
      </c>
    </row>
    <row r="13" customFormat="false" ht="22.35" hidden="false" customHeight="false" outlineLevel="0" collapsed="false">
      <c r="A13" s="27" t="s">
        <v>520</v>
      </c>
      <c r="B13" s="28" t="s">
        <v>521</v>
      </c>
      <c r="C13" s="28" t="s">
        <v>522</v>
      </c>
      <c r="D13" s="28" t="s">
        <v>523</v>
      </c>
      <c r="E13" s="28" t="s">
        <v>524</v>
      </c>
      <c r="F13" s="28" t="s">
        <v>525</v>
      </c>
    </row>
    <row r="14" customFormat="false" ht="22.35" hidden="false" customHeight="false" outlineLevel="0" collapsed="false">
      <c r="A14" s="23" t="s">
        <v>466</v>
      </c>
      <c r="B14" s="24" t="s">
        <v>526</v>
      </c>
      <c r="C14" s="24" t="s">
        <v>527</v>
      </c>
      <c r="D14" s="24" t="s">
        <v>528</v>
      </c>
      <c r="E14" s="24" t="s">
        <v>529</v>
      </c>
      <c r="F14" s="24" t="s">
        <v>246</v>
      </c>
    </row>
    <row r="15" customFormat="false" ht="22.35" hidden="false" customHeight="false" outlineLevel="0" collapsed="false">
      <c r="A15" s="27" t="s">
        <v>456</v>
      </c>
      <c r="B15" s="28" t="s">
        <v>530</v>
      </c>
      <c r="C15" s="28" t="s">
        <v>531</v>
      </c>
      <c r="D15" s="28" t="s">
        <v>532</v>
      </c>
      <c r="E15" s="28" t="s">
        <v>533</v>
      </c>
      <c r="F15" s="28" t="s">
        <v>534</v>
      </c>
    </row>
    <row r="16" customFormat="false" ht="15" hidden="false" customHeight="false" outlineLevel="0" collapsed="false">
      <c r="A16" s="23" t="s">
        <v>535</v>
      </c>
      <c r="B16" s="24" t="s">
        <v>536</v>
      </c>
      <c r="C16" s="24" t="s">
        <v>537</v>
      </c>
      <c r="D16" s="24" t="s">
        <v>538</v>
      </c>
      <c r="E16" s="24" t="s">
        <v>539</v>
      </c>
      <c r="F16" s="24" t="s">
        <v>540</v>
      </c>
    </row>
    <row r="17" customFormat="false" ht="22.35" hidden="false" customHeight="false" outlineLevel="0" collapsed="false">
      <c r="A17" s="27" t="s">
        <v>541</v>
      </c>
      <c r="B17" s="28" t="s">
        <v>542</v>
      </c>
      <c r="C17" s="28" t="s">
        <v>543</v>
      </c>
      <c r="D17" s="28" t="s">
        <v>544</v>
      </c>
      <c r="E17" s="28" t="s">
        <v>545</v>
      </c>
      <c r="F17" s="28" t="s">
        <v>546</v>
      </c>
    </row>
    <row r="19" customFormat="false" ht="15" hidden="false" customHeight="false" outlineLevel="0" collapsed="false">
      <c r="A19" s="9" t="s">
        <v>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6B78"/>
    <pageSetUpPr fitToPage="tru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70"/>
    <col collapsed="false" customWidth="true" hidden="false" outlineLevel="0" max="4" min="4" style="0" width="44"/>
  </cols>
  <sheetData>
    <row r="1" customFormat="false" ht="16.15" hidden="false" customHeight="false" outlineLevel="0" collapsed="false">
      <c r="A1" s="17" t="s">
        <v>548</v>
      </c>
    </row>
    <row r="3" customFormat="false" ht="30" hidden="false" customHeight="true" outlineLevel="0" collapsed="false">
      <c r="A3" s="22" t="s">
        <v>20</v>
      </c>
      <c r="B3" s="22" t="s">
        <v>549</v>
      </c>
      <c r="C3" s="22" t="s">
        <v>550</v>
      </c>
      <c r="D3" s="22" t="s">
        <v>551</v>
      </c>
    </row>
    <row r="4" customFormat="false" ht="22.35" hidden="false" customHeight="false" outlineLevel="0" collapsed="false">
      <c r="A4" s="23" t="s">
        <v>552</v>
      </c>
      <c r="B4" s="24" t="s">
        <v>553</v>
      </c>
      <c r="C4" s="29" t="s">
        <v>554</v>
      </c>
      <c r="D4" s="24" t="s">
        <v>555</v>
      </c>
    </row>
    <row r="5" customFormat="false" ht="15" hidden="false" customHeight="false" outlineLevel="0" collapsed="false">
      <c r="A5" s="27" t="s">
        <v>556</v>
      </c>
      <c r="B5" s="28" t="s">
        <v>557</v>
      </c>
      <c r="C5" s="30" t="s">
        <v>558</v>
      </c>
      <c r="D5" s="28" t="s">
        <v>559</v>
      </c>
    </row>
    <row r="6" customFormat="false" ht="15" hidden="false" customHeight="false" outlineLevel="0" collapsed="false">
      <c r="A6" s="23" t="s">
        <v>560</v>
      </c>
      <c r="B6" s="24" t="s">
        <v>561</v>
      </c>
      <c r="C6" s="29" t="s">
        <v>562</v>
      </c>
      <c r="D6" s="24" t="s">
        <v>559</v>
      </c>
    </row>
    <row r="7" customFormat="false" ht="22.35" hidden="false" customHeight="false" outlineLevel="0" collapsed="false">
      <c r="A7" s="27" t="s">
        <v>563</v>
      </c>
      <c r="B7" s="28" t="s">
        <v>564</v>
      </c>
      <c r="C7" s="30" t="s">
        <v>565</v>
      </c>
      <c r="D7" s="28" t="s">
        <v>566</v>
      </c>
    </row>
    <row r="8" customFormat="false" ht="22.35" hidden="false" customHeight="false" outlineLevel="0" collapsed="false">
      <c r="A8" s="23" t="s">
        <v>567</v>
      </c>
      <c r="B8" s="24" t="s">
        <v>568</v>
      </c>
      <c r="C8" s="29" t="s">
        <v>569</v>
      </c>
      <c r="D8" s="24" t="s">
        <v>570</v>
      </c>
    </row>
    <row r="9" customFormat="false" ht="22.35" hidden="false" customHeight="false" outlineLevel="0" collapsed="false">
      <c r="A9" s="27" t="s">
        <v>571</v>
      </c>
      <c r="B9" s="28" t="s">
        <v>572</v>
      </c>
      <c r="C9" s="30" t="s">
        <v>573</v>
      </c>
      <c r="D9" s="28" t="s">
        <v>574</v>
      </c>
    </row>
    <row r="10" customFormat="false" ht="15" hidden="false" customHeight="false" outlineLevel="0" collapsed="false">
      <c r="A10" s="23" t="s">
        <v>575</v>
      </c>
      <c r="B10" s="24" t="s">
        <v>576</v>
      </c>
      <c r="C10" s="29" t="s">
        <v>577</v>
      </c>
      <c r="D10" s="24" t="s">
        <v>578</v>
      </c>
    </row>
    <row r="11" customFormat="false" ht="15" hidden="false" customHeight="false" outlineLevel="0" collapsed="false">
      <c r="A11" s="27" t="s">
        <v>579</v>
      </c>
      <c r="B11" s="28" t="s">
        <v>580</v>
      </c>
      <c r="C11" s="30" t="s">
        <v>581</v>
      </c>
      <c r="D11" s="28" t="s">
        <v>582</v>
      </c>
    </row>
    <row r="12" customFormat="false" ht="15" hidden="false" customHeight="false" outlineLevel="0" collapsed="false">
      <c r="A12" s="23" t="s">
        <v>583</v>
      </c>
      <c r="B12" s="24" t="s">
        <v>584</v>
      </c>
      <c r="C12" s="29" t="s">
        <v>585</v>
      </c>
      <c r="D12" s="24" t="s">
        <v>586</v>
      </c>
    </row>
    <row r="13" customFormat="false" ht="22.35" hidden="false" customHeight="false" outlineLevel="0" collapsed="false">
      <c r="A13" s="27" t="s">
        <v>587</v>
      </c>
      <c r="B13" s="28" t="s">
        <v>588</v>
      </c>
      <c r="C13" s="30" t="s">
        <v>589</v>
      </c>
      <c r="D13" s="28" t="s">
        <v>590</v>
      </c>
    </row>
    <row r="14" customFormat="false" ht="22.35" hidden="false" customHeight="false" outlineLevel="0" collapsed="false">
      <c r="A14" s="23" t="s">
        <v>591</v>
      </c>
      <c r="B14" s="24" t="s">
        <v>592</v>
      </c>
      <c r="C14" s="29" t="s">
        <v>593</v>
      </c>
      <c r="D14" s="24" t="s">
        <v>594</v>
      </c>
    </row>
    <row r="15" customFormat="false" ht="15" hidden="false" customHeight="false" outlineLevel="0" collapsed="false">
      <c r="A15" s="27" t="s">
        <v>595</v>
      </c>
      <c r="B15" s="28" t="s">
        <v>596</v>
      </c>
      <c r="C15" s="30" t="s">
        <v>597</v>
      </c>
      <c r="D15" s="28" t="s">
        <v>598</v>
      </c>
    </row>
    <row r="16" customFormat="false" ht="22.35" hidden="false" customHeight="false" outlineLevel="0" collapsed="false">
      <c r="A16" s="23" t="s">
        <v>599</v>
      </c>
      <c r="B16" s="24" t="s">
        <v>600</v>
      </c>
      <c r="C16" s="24" t="s">
        <v>601</v>
      </c>
      <c r="D16" s="24" t="s">
        <v>602</v>
      </c>
    </row>
    <row r="17" customFormat="false" ht="22.35" hidden="false" customHeight="false" outlineLevel="0" collapsed="false">
      <c r="A17" s="27" t="s">
        <v>603</v>
      </c>
      <c r="B17" s="28" t="s">
        <v>604</v>
      </c>
      <c r="C17" s="28" t="s">
        <v>605</v>
      </c>
      <c r="D17" s="28" t="s">
        <v>602</v>
      </c>
    </row>
    <row r="19" customFormat="false" ht="15" hidden="false" customHeight="false" outlineLevel="0" collapsed="false">
      <c r="A19" s="9" t="s">
        <v>606</v>
      </c>
    </row>
  </sheetData>
  <hyperlinks>
    <hyperlink ref="C4" r:id="rId1" display="https://eur-lex.europa.eu/eli/dir/2024/825/oj?locale=de"/>
    <hyperlink ref="C5" r:id="rId2" display="https://eur-lex.europa.eu/legal-content/DE/TXT/?uri=celex:32005L0029"/>
    <hyperlink ref="C6" r:id="rId3" display="https://eur-lex.europa.eu/legal-content/DE/TXT/?uri=celex:32011L0083"/>
    <hyperlink ref="C7" r:id="rId4" display="https://www.recht.bund.de/bgbl/1/2026/43/regelungstext.pdf?__blob=publicationFile&amp;v=1"/>
    <hyperlink ref="C8" r:id="rId5" display="https://shopbetreiber-blog.de/ab-27-9-2026-die-umsetzung-der-empco-rl-im-bgb-und-egbgb"/>
    <hyperlink ref="C9" r:id="rId6" display="https://eur-lex.europa.eu/eli/reg_impl/2025/1960/oj/eng"/>
    <hyperlink ref="C10" r:id="rId7" display="https://dserver.bundestag.de/btd/21/062/2106215.pdf"/>
    <hyperlink ref="C11" r:id="rId8" display="https://commission.europa.eu/document/download/3c257883-bb2a-4dd9-a6dc-501d587bb34f_en?filename=faq-empowerting-consumers-gtd.pdf"/>
    <hyperlink ref="C12" r:id="rId9" display="https://commission.europa.eu/document/download/264d8c70-2f9a-4955-8e7b-154d55a9b684_en?filename=Final+CPC+common+understanding+on+old+stock+situations+June+2026.pdf"/>
    <hyperlink ref="C13" r:id="rId10" display="https://www.idw.de/news/idw-veroeffentlicht-mustervermerke-zur-pruefung-von-umsetzungsplaenen-fuer-kuenftige-umweltleistungen.html"/>
    <hyperlink ref="C14" r:id="rId11" display="https://www.bdo.de/de-de/services/audit-assurance/forensic-risk-compliance/internes-kontrollsystem-und-risikomanagement/prufung-von-internen-kontrollsystemen-nach-idw-ps-982"/>
    <hyperlink ref="C15" r:id="rId12" display="https://www.theiia.org/en/products/bookstore/coso---internal-control--integrated-framework-2013-framework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2026-09-30T06:22:48Z</dcterms:created>
  <dc:creator>openpyxl</dc:creator>
  <dc:description/>
  <dc:language>en-US</dc:language>
  <cp:lastModifiedBy/>
  <dcterms:modified xsi:type="dcterms:W3CDTF">2026-09-30T06:22:49Z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